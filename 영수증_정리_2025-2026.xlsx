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수증 내역" sheetId="1" state="visible" r:id="rId1"/>
    <sheet name="월별 요약" sheetId="2" state="visible" r:id="rId2"/>
    <sheet name="구입처별 요약" sheetId="3" state="visible" r:id="rId3"/>
    <sheet name="안내" sheetId="4" state="visible" r:id="rId4"/>
  </sheets>
  <definedNames>
    <definedName name="_xlnm._FilterDatabase" localSheetId="0" hidden="1">'영수증 내역'!$A$5:$Q$164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;0.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color rgb="00999999"/>
      <sz val="10"/>
    </font>
    <font>
      <name val="Arial"/>
      <b val="1"/>
      <sz val="10"/>
    </font>
    <font>
      <name val="Arial"/>
      <color rgb="00595959"/>
      <sz val="9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165" fontId="6" fillId="3" borderId="0" pivotButton="0" quotePrefix="0" xfId="0"/>
    <xf numFmtId="0" fontId="7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5" fillId="0" borderId="0" applyAlignment="1" pivotButton="0" quotePrefix="0" xfId="0">
      <alignment horizontal="center"/>
    </xf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6" fillId="3" borderId="0" pivotButton="0" quotePrefix="0" xfId="0"/>
    <xf numFmtId="0" fontId="0" fillId="3" borderId="0" pivotButton="0" quotePrefix="0" xfId="0"/>
    <xf numFmtId="0" fontId="6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7" customWidth="1" min="4" max="4"/>
    <col width="34" customWidth="1" min="5" max="5"/>
    <col width="26" customWidth="1" min="6" max="6"/>
    <col width="34" customWidth="1" min="7" max="7"/>
    <col width="6" customWidth="1" min="8" max="8"/>
    <col width="12" customWidth="1" min="9" max="9"/>
    <col width="10" customWidth="1" min="10" max="10"/>
    <col width="9" customWidth="1" min="11" max="11"/>
    <col width="8" customWidth="1" min="12" max="12"/>
    <col width="14" customWidth="1" min="13" max="13"/>
    <col width="16" customWidth="1" min="14" max="14"/>
    <col width="8" customWidth="1" min="15" max="15"/>
    <col width="60" customWidth="1" min="16" max="16"/>
    <col width="18" customWidth="1" min="17" max="17"/>
  </cols>
  <sheetData>
    <row r="1">
      <c r="A1" s="1" t="inlineStr">
        <is>
          <t>영수증 정리 (2025-07 ~ 2026-09)</t>
        </is>
      </c>
    </row>
    <row r="2">
      <c r="A2" s="2" t="inlineStr">
        <is>
          <t>합계는 "합계반영=Y" 이고 통화=CAD 인 건만 집계 (중복 사진·카드전표는 N). 미국(USD) 2건은 별도.</t>
        </is>
      </c>
    </row>
    <row r="3">
      <c r="A3" s="3" t="inlineStr">
        <is>
          <t>CAD 합계</t>
        </is>
      </c>
      <c r="I3" s="4">
        <f>SUMIFS(I6:I164,O6:O164,"Y",H6:H164,"CAD")</f>
        <v/>
      </c>
      <c r="J3" s="4">
        <f>SUMIFS(J6:J164,O6:O164,"Y",H6:H164,"CAD")</f>
        <v/>
      </c>
      <c r="K3" s="4">
        <f>SUMIFS(K6:K164,O6:O164,"Y",H6:H164,"CAD")</f>
        <v/>
      </c>
      <c r="L3" s="4">
        <f>SUMIFS(L6:L164,O6:O164,"Y",H6:H164,"CAD")</f>
        <v/>
      </c>
      <c r="M3" s="4">
        <f>SUMIFS(M6:M164,O6:O164,"Y",H6:H164,"CAD")</f>
        <v/>
      </c>
      <c r="N3" s="3">
        <f>COUNTIFS(O6:O164,"Y",H6:H164,"CAD")&amp;"건"</f>
        <v/>
      </c>
    </row>
    <row r="4">
      <c r="I4" s="5" t="inlineStr">
        <is>
          <t>소계(세전)</t>
        </is>
      </c>
      <c r="J4" s="5" t="inlineStr">
        <is>
          <t>HST</t>
        </is>
      </c>
      <c r="K4" s="5" t="inlineStr">
        <is>
          <t>기타세금</t>
        </is>
      </c>
      <c r="L4" s="5" t="inlineStr">
        <is>
          <t>팁</t>
        </is>
      </c>
      <c r="M4" s="5" t="inlineStr">
        <is>
          <t>합계</t>
        </is>
      </c>
    </row>
    <row r="5" ht="30" customHeight="1">
      <c r="A5" s="6" t="inlineStr">
        <is>
          <t>No</t>
        </is>
      </c>
      <c r="B5" s="6" t="inlineStr">
        <is>
          <t>날짜</t>
        </is>
      </c>
      <c r="C5" s="6" t="inlineStr">
        <is>
          <t>연월</t>
        </is>
      </c>
      <c r="D5" s="6" t="inlineStr">
        <is>
          <t>시간</t>
        </is>
      </c>
      <c r="E5" s="6" t="inlineStr">
        <is>
          <t>구입처</t>
        </is>
      </c>
      <c r="F5" s="6" t="inlineStr">
        <is>
          <t>구입처 그룹</t>
        </is>
      </c>
      <c r="G5" s="6" t="inlineStr">
        <is>
          <t>위치/주소</t>
        </is>
      </c>
      <c r="H5" s="6" t="inlineStr">
        <is>
          <t>통화</t>
        </is>
      </c>
      <c r="I5" s="6" t="inlineStr">
        <is>
          <t>소계(세전)</t>
        </is>
      </c>
      <c r="J5" s="6" t="inlineStr">
        <is>
          <t>HST</t>
        </is>
      </c>
      <c r="K5" s="6" t="inlineStr">
        <is>
          <t>기타세금</t>
        </is>
      </c>
      <c r="L5" s="6" t="inlineStr">
        <is>
          <t>팁</t>
        </is>
      </c>
      <c r="M5" s="6" t="inlineStr">
        <is>
          <t>합계(총결제액)</t>
        </is>
      </c>
      <c r="N5" s="6" t="inlineStr">
        <is>
          <t>결제수단</t>
        </is>
      </c>
      <c r="O5" s="6" t="inlineStr">
        <is>
          <t>합계반영</t>
        </is>
      </c>
      <c r="P5" s="6" t="inlineStr">
        <is>
          <t>비고</t>
        </is>
      </c>
      <c r="Q5" s="6" t="inlineStr">
        <is>
          <t>원본 파일</t>
        </is>
      </c>
    </row>
    <row r="6">
      <c r="A6" s="7" t="n">
        <v>1</v>
      </c>
      <c r="B6" s="8" t="n">
        <v>45668</v>
      </c>
      <c r="C6" s="7">
        <f>IF(B6="","미기재",TEXT(B6,"yyyy-mm"))</f>
        <v/>
      </c>
      <c r="D6" s="7" t="inlineStr">
        <is>
          <t>16:53</t>
        </is>
      </c>
      <c r="E6" s="9" t="inlineStr">
        <is>
          <t>Chick-fil-A</t>
        </is>
      </c>
      <c r="F6" s="9" t="inlineStr">
        <is>
          <t>Chick-fil-A</t>
        </is>
      </c>
      <c r="G6" s="9" t="inlineStr">
        <is>
          <t>Toronto Eaton Centre, Toronto</t>
        </is>
      </c>
      <c r="H6" s="7" t="inlineStr">
        <is>
          <t>CAD</t>
        </is>
      </c>
      <c r="I6" s="10" t="n">
        <v>7.39</v>
      </c>
      <c r="J6" s="10" t="n">
        <v>0.96</v>
      </c>
      <c r="K6" s="10" t="n"/>
      <c r="L6" s="10" t="n"/>
      <c r="M6" s="10" t="n">
        <v>8.35</v>
      </c>
      <c r="N6" s="9" t="inlineStr">
        <is>
          <t>Credit</t>
        </is>
      </c>
      <c r="O6" s="7" t="inlineStr">
        <is>
          <t>Y</t>
        </is>
      </c>
      <c r="P6" s="9" t="inlineStr">
        <is>
          <t>확인 필요: 영수증 날짜 01/11/2025 → 미국식(MM/DD)으로 2025-01-11 처리. 일/월 순서면 2025-11-01</t>
        </is>
      </c>
      <c r="Q6" s="9" t="inlineStr">
        <is>
          <t>IMG_5351.HEIC</t>
        </is>
      </c>
    </row>
    <row r="7">
      <c r="A7" s="7" t="n">
        <v>2</v>
      </c>
      <c r="B7" s="8" t="n">
        <v>45853</v>
      </c>
      <c r="C7" s="7">
        <f>IF(B7="","미기재",TEXT(B7,"yyyy-mm"))</f>
        <v/>
      </c>
      <c r="D7" s="7" t="inlineStr">
        <is>
          <t>06:08</t>
        </is>
      </c>
      <c r="E7" s="9" t="inlineStr">
        <is>
          <t>Etobicoke Olympium (FitnessTO)</t>
        </is>
      </c>
      <c r="F7" s="9" t="inlineStr">
        <is>
          <t>Etobicoke Olympium (FitnessTO)</t>
        </is>
      </c>
      <c r="G7" s="9" t="inlineStr">
        <is>
          <t>590 Rathburn Rd, Toronto</t>
        </is>
      </c>
      <c r="H7" s="7" t="inlineStr">
        <is>
          <t>CAD</t>
        </is>
      </c>
      <c r="I7" s="10" t="n">
        <v>2.16</v>
      </c>
      <c r="J7" s="10" t="n">
        <v>0.28</v>
      </c>
      <c r="K7" s="10" t="n"/>
      <c r="L7" s="10" t="n"/>
      <c r="M7" s="10" t="n">
        <v>2.44</v>
      </c>
      <c r="N7" s="9" t="inlineStr">
        <is>
          <t>Visa</t>
        </is>
      </c>
      <c r="O7" s="7" t="inlineStr">
        <is>
          <t>Y</t>
        </is>
      </c>
      <c r="P7" s="9" t="inlineStr">
        <is>
          <t>드롭인(Youth)</t>
        </is>
      </c>
      <c r="Q7" s="9" t="inlineStr">
        <is>
          <t>IMG_5596.HEIC</t>
        </is>
      </c>
    </row>
    <row r="8">
      <c r="A8" s="7" t="n">
        <v>3</v>
      </c>
      <c r="B8" s="8" t="n">
        <v>45854</v>
      </c>
      <c r="C8" s="7">
        <f>IF(B8="","미기재",TEXT(B8,"yyyy-mm"))</f>
        <v/>
      </c>
      <c r="D8" s="7" t="inlineStr">
        <is>
          <t>06:12</t>
        </is>
      </c>
      <c r="E8" s="9" t="inlineStr">
        <is>
          <t>Etobicoke Olympium (FitnessTO)</t>
        </is>
      </c>
      <c r="F8" s="9" t="inlineStr">
        <is>
          <t>Etobicoke Olympium (FitnessTO)</t>
        </is>
      </c>
      <c r="G8" s="9" t="inlineStr">
        <is>
          <t>590 Rathburn Rd, Toronto</t>
        </is>
      </c>
      <c r="H8" s="7" t="inlineStr">
        <is>
          <t>CAD</t>
        </is>
      </c>
      <c r="I8" s="10" t="n">
        <v>2.16</v>
      </c>
      <c r="J8" s="10" t="n">
        <v>0.28</v>
      </c>
      <c r="K8" s="10" t="n"/>
      <c r="L8" s="10" t="n"/>
      <c r="M8" s="10" t="n">
        <v>2.44</v>
      </c>
      <c r="N8" s="9" t="inlineStr">
        <is>
          <t>Visa</t>
        </is>
      </c>
      <c r="O8" s="7" t="inlineStr">
        <is>
          <t>Y</t>
        </is>
      </c>
      <c r="P8" s="9" t="inlineStr">
        <is>
          <t>드롭인</t>
        </is>
      </c>
      <c r="Q8" s="9" t="inlineStr">
        <is>
          <t>IMG_5593.HEIC</t>
        </is>
      </c>
    </row>
    <row r="9">
      <c r="A9" s="7" t="n">
        <v>4</v>
      </c>
      <c r="B9" s="8" t="n">
        <v>45855</v>
      </c>
      <c r="C9" s="7">
        <f>IF(B9="","미기재",TEXT(B9,"yyyy-mm"))</f>
        <v/>
      </c>
      <c r="D9" s="7" t="inlineStr">
        <is>
          <t>06:10</t>
        </is>
      </c>
      <c r="E9" s="9" t="inlineStr">
        <is>
          <t>Etobicoke Olympium (FitnessTO)</t>
        </is>
      </c>
      <c r="F9" s="9" t="inlineStr">
        <is>
          <t>Etobicoke Olympium (FitnessTO)</t>
        </is>
      </c>
      <c r="G9" s="9" t="inlineStr">
        <is>
          <t>590 Rathburn Rd, Toronto</t>
        </is>
      </c>
      <c r="H9" s="7" t="inlineStr">
        <is>
          <t>CAD</t>
        </is>
      </c>
      <c r="I9" s="10" t="n">
        <v>2.16</v>
      </c>
      <c r="J9" s="10" t="n">
        <v>0.28</v>
      </c>
      <c r="K9" s="10" t="n"/>
      <c r="L9" s="10" t="n"/>
      <c r="M9" s="10" t="n">
        <v>2.44</v>
      </c>
      <c r="N9" s="9" t="inlineStr">
        <is>
          <t>Visa</t>
        </is>
      </c>
      <c r="O9" s="7" t="inlineStr">
        <is>
          <t>Y</t>
        </is>
      </c>
      <c r="P9" s="9" t="inlineStr">
        <is>
          <t>드롭인(Youth)</t>
        </is>
      </c>
      <c r="Q9" s="9" t="inlineStr">
        <is>
          <t>IMG_5595.HEIC</t>
        </is>
      </c>
    </row>
    <row r="10">
      <c r="A10" s="7" t="n">
        <v>5</v>
      </c>
      <c r="B10" s="8" t="n">
        <v>45859</v>
      </c>
      <c r="C10" s="7">
        <f>IF(B10="","미기재",TEXT(B10,"yyyy-mm"))</f>
        <v/>
      </c>
      <c r="D10" s="7" t="inlineStr">
        <is>
          <t>06:51</t>
        </is>
      </c>
      <c r="E10" s="9" t="inlineStr">
        <is>
          <t>Etobicoke Olympium (FitnessTO)</t>
        </is>
      </c>
      <c r="F10" s="9" t="inlineStr">
        <is>
          <t>Etobicoke Olympium (FitnessTO)</t>
        </is>
      </c>
      <c r="G10" s="9" t="inlineStr">
        <is>
          <t>590 Rathburn Rd, Toronto</t>
        </is>
      </c>
      <c r="H10" s="7" t="inlineStr">
        <is>
          <t>CAD</t>
        </is>
      </c>
      <c r="I10" s="10" t="n">
        <v>2.16</v>
      </c>
      <c r="J10" s="10" t="n">
        <v>0.28</v>
      </c>
      <c r="K10" s="10" t="n"/>
      <c r="L10" s="10" t="n"/>
      <c r="M10" s="10" t="n">
        <v>2.44</v>
      </c>
      <c r="N10" s="9" t="inlineStr">
        <is>
          <t>Visa</t>
        </is>
      </c>
      <c r="O10" s="7" t="inlineStr">
        <is>
          <t>Y</t>
        </is>
      </c>
      <c r="P10" s="9" t="inlineStr">
        <is>
          <t>드롭인</t>
        </is>
      </c>
      <c r="Q10" s="9" t="inlineStr">
        <is>
          <t>IMG_5594.HEIC</t>
        </is>
      </c>
    </row>
    <row r="11">
      <c r="A11" s="7" t="n">
        <v>6</v>
      </c>
      <c r="B11" s="8" t="n">
        <v>45884</v>
      </c>
      <c r="C11" s="7">
        <f>IF(B11="","미기재",TEXT(B11,"yyyy-mm"))</f>
        <v/>
      </c>
      <c r="D11" s="7" t="inlineStr">
        <is>
          <t>06:12</t>
        </is>
      </c>
      <c r="E11" s="9" t="inlineStr">
        <is>
          <t>Etobicoke Olympium (FitnessTO)</t>
        </is>
      </c>
      <c r="F11" s="9" t="inlineStr">
        <is>
          <t>Etobicoke Olympium (FitnessTO)</t>
        </is>
      </c>
      <c r="G11" s="9" t="inlineStr">
        <is>
          <t>590 Rathburn Rd, Toronto</t>
        </is>
      </c>
      <c r="H11" s="7" t="inlineStr">
        <is>
          <t>CAD</t>
        </is>
      </c>
      <c r="I11" s="10" t="n">
        <v>38.78</v>
      </c>
      <c r="J11" s="10" t="n">
        <v>5.04</v>
      </c>
      <c r="K11" s="10" t="n"/>
      <c r="L11" s="10" t="n"/>
      <c r="M11" s="10" t="n">
        <v>43.82</v>
      </c>
      <c r="N11" s="9" t="inlineStr">
        <is>
          <t>Visa</t>
        </is>
      </c>
      <c r="O11" s="7" t="inlineStr">
        <is>
          <t>Y</t>
        </is>
      </c>
      <c r="P11" s="9" t="inlineStr">
        <is>
          <t>수영 멤버십 1개월(Adult)</t>
        </is>
      </c>
      <c r="Q11" s="9" t="inlineStr">
        <is>
          <t>IMG_5591.HEIC</t>
        </is>
      </c>
    </row>
    <row r="12">
      <c r="A12" s="7" t="n">
        <v>7</v>
      </c>
      <c r="B12" s="8" t="n">
        <v>45884</v>
      </c>
      <c r="C12" s="7">
        <f>IF(B12="","미기재",TEXT(B12,"yyyy-mm"))</f>
        <v/>
      </c>
      <c r="D12" s="7" t="inlineStr">
        <is>
          <t>06:13</t>
        </is>
      </c>
      <c r="E12" s="9" t="inlineStr">
        <is>
          <t>Etobicoke Olympium (FitnessTO)</t>
        </is>
      </c>
      <c r="F12" s="9" t="inlineStr">
        <is>
          <t>Etobicoke Olympium (FitnessTO)</t>
        </is>
      </c>
      <c r="G12" s="9" t="inlineStr">
        <is>
          <t>590 Rathburn Rd, Toronto</t>
        </is>
      </c>
      <c r="H12" s="7" t="inlineStr">
        <is>
          <t>CAD</t>
        </is>
      </c>
      <c r="I12" s="10" t="n">
        <v>19.39</v>
      </c>
      <c r="J12" s="10" t="n">
        <v>2.52</v>
      </c>
      <c r="K12" s="10" t="n"/>
      <c r="L12" s="10" t="n"/>
      <c r="M12" s="10" t="n">
        <v>21.91</v>
      </c>
      <c r="N12" s="9" t="inlineStr">
        <is>
          <t>Visa</t>
        </is>
      </c>
      <c r="O12" s="7" t="inlineStr">
        <is>
          <t>Y</t>
        </is>
      </c>
      <c r="P12" s="9" t="inlineStr">
        <is>
          <t>수영 멤버십 1개월(Youth)</t>
        </is>
      </c>
      <c r="Q12" s="9" t="inlineStr">
        <is>
          <t>IMG_5590.HEIC</t>
        </is>
      </c>
    </row>
    <row r="13">
      <c r="A13" s="7" t="n">
        <v>8</v>
      </c>
      <c r="B13" s="8" t="n">
        <v>45884</v>
      </c>
      <c r="C13" s="7">
        <f>IF(B13="","미기재",TEXT(B13,"yyyy-mm"))</f>
        <v/>
      </c>
      <c r="D13" s="7" t="inlineStr">
        <is>
          <t>06:14</t>
        </is>
      </c>
      <c r="E13" s="9" t="inlineStr">
        <is>
          <t>Etobicoke Olympium (FitnessTO)</t>
        </is>
      </c>
      <c r="F13" s="9" t="inlineStr">
        <is>
          <t>Etobicoke Olympium (FitnessTO)</t>
        </is>
      </c>
      <c r="G13" s="9" t="inlineStr">
        <is>
          <t>590 Rathburn Rd, Toronto</t>
        </is>
      </c>
      <c r="H13" s="7" t="inlineStr">
        <is>
          <t>CAD</t>
        </is>
      </c>
      <c r="I13" s="10" t="n">
        <v>16.53</v>
      </c>
      <c r="J13" s="10" t="n">
        <v>2.15</v>
      </c>
      <c r="K13" s="10" t="n"/>
      <c r="L13" s="10" t="n"/>
      <c r="M13" s="10" t="n">
        <v>18.68</v>
      </c>
      <c r="N13" s="9" t="inlineStr">
        <is>
          <t>Visa</t>
        </is>
      </c>
      <c r="O13" s="7" t="inlineStr">
        <is>
          <t>Y</t>
        </is>
      </c>
      <c r="P13" s="9" t="inlineStr">
        <is>
          <t>멤버십 1개월(Youth)</t>
        </is>
      </c>
      <c r="Q13" s="9" t="inlineStr">
        <is>
          <t>IMG_5597.HEIC</t>
        </is>
      </c>
    </row>
    <row r="14">
      <c r="A14" s="7" t="n">
        <v>9</v>
      </c>
      <c r="B14" s="8" t="n">
        <v>45902</v>
      </c>
      <c r="C14" s="7">
        <f>IF(B14="","미기재",TEXT(B14,"yyyy-mm"))</f>
        <v/>
      </c>
      <c r="D14" s="7" t="inlineStr">
        <is>
          <t>13:46</t>
        </is>
      </c>
      <c r="E14" s="9" t="inlineStr">
        <is>
          <t>Home Depot (North Queen)</t>
        </is>
      </c>
      <c r="F14" s="9" t="inlineStr">
        <is>
          <t>Home Depot</t>
        </is>
      </c>
      <c r="G14" s="9" t="inlineStr">
        <is>
          <t>193 N Queen St, Etobicoke</t>
        </is>
      </c>
      <c r="H14" s="7" t="inlineStr">
        <is>
          <t>CAD</t>
        </is>
      </c>
      <c r="I14" s="10" t="n">
        <v>2147.48</v>
      </c>
      <c r="J14" s="10" t="n">
        <v>279.18</v>
      </c>
      <c r="K14" s="10" t="n"/>
      <c r="L14" s="10" t="n"/>
      <c r="M14" s="10" t="n">
        <v>2426.66</v>
      </c>
      <c r="N14" s="9" t="inlineStr">
        <is>
          <t>Mastercard</t>
        </is>
      </c>
      <c r="O14" s="7" t="inlineStr">
        <is>
          <t>Y</t>
        </is>
      </c>
      <c r="P14" s="9" t="inlineStr">
        <is>
          <t>가전(GE Profile) 주문 + 부품 / 10% 할인 -218.80 / 배송 2025-09-10</t>
        </is>
      </c>
      <c r="Q14" s="9" t="inlineStr">
        <is>
          <t>IMG_5651.HEIC</t>
        </is>
      </c>
    </row>
    <row r="15">
      <c r="A15" s="7" t="n">
        <v>10</v>
      </c>
      <c r="B15" s="8" t="n">
        <v>45904</v>
      </c>
      <c r="C15" s="7">
        <f>IF(B15="","미기재",TEXT(B15,"yyyy-mm"))</f>
        <v/>
      </c>
      <c r="D15" s="7" t="inlineStr">
        <is>
          <t>12:43</t>
        </is>
      </c>
      <c r="E15" s="9" t="inlineStr">
        <is>
          <t>SushiOne x Jjajang1980</t>
        </is>
      </c>
      <c r="F15" s="9" t="inlineStr">
        <is>
          <t>SushiOne x Jjajang1980</t>
        </is>
      </c>
      <c r="G15" s="9" t="inlineStr">
        <is>
          <t>4924 Yonge St, North York</t>
        </is>
      </c>
      <c r="H15" s="7" t="inlineStr">
        <is>
          <t>CAD</t>
        </is>
      </c>
      <c r="I15" s="10" t="n">
        <v>40.49</v>
      </c>
      <c r="J15" s="10" t="n">
        <v>5.26</v>
      </c>
      <c r="K15" s="10" t="n"/>
      <c r="L15" s="10" t="n"/>
      <c r="M15" s="10" t="n">
        <v>45.75</v>
      </c>
      <c r="N15" s="9" t="inlineStr">
        <is>
          <t>Cash</t>
        </is>
      </c>
      <c r="O15" s="7" t="inlineStr">
        <is>
          <t>Y</t>
        </is>
      </c>
      <c r="P15" s="9" t="inlineStr">
        <is>
          <t>소계 44.99에서 현금할인 10% -4.50 적용</t>
        </is>
      </c>
      <c r="Q15" s="9" t="inlineStr">
        <is>
          <t>IMG_5531.HEIC</t>
        </is>
      </c>
    </row>
    <row r="16">
      <c r="A16" s="7" t="n">
        <v>11</v>
      </c>
      <c r="B16" s="8" t="n">
        <v>45906</v>
      </c>
      <c r="C16" s="7">
        <f>IF(B16="","미기재",TEXT(B16,"yyyy-mm"))</f>
        <v/>
      </c>
      <c r="D16" s="7" t="inlineStr">
        <is>
          <t>10:56</t>
        </is>
      </c>
      <c r="E16" s="9" t="inlineStr">
        <is>
          <t>Sport Chek (Yorkdale)</t>
        </is>
      </c>
      <c r="F16" s="9" t="inlineStr">
        <is>
          <t>Sport Chek</t>
        </is>
      </c>
      <c r="G16" s="9" t="inlineStr">
        <is>
          <t>3401 Dufferin St, North York</t>
        </is>
      </c>
      <c r="H16" s="7" t="inlineStr">
        <is>
          <t>CAD</t>
        </is>
      </c>
      <c r="I16" s="10" t="n">
        <v>-56.24</v>
      </c>
      <c r="J16" s="10" t="n">
        <v>-7.31</v>
      </c>
      <c r="K16" s="10" t="n"/>
      <c r="L16" s="10" t="n"/>
      <c r="M16" s="10" t="n">
        <v>-63.55</v>
      </c>
      <c r="N16" s="9" t="inlineStr">
        <is>
          <t>Mastercard</t>
        </is>
      </c>
      <c r="O16" s="7" t="inlineStr">
        <is>
          <t>Y</t>
        </is>
      </c>
      <c r="P16" s="9" t="inlineStr">
        <is>
          <t>환불(RETURN) - 백팩 사이즈 교환</t>
        </is>
      </c>
      <c r="Q16" s="9" t="inlineStr">
        <is>
          <t>IMG_5455.HEIC</t>
        </is>
      </c>
    </row>
    <row r="17">
      <c r="A17" s="7" t="n">
        <v>12</v>
      </c>
      <c r="B17" s="8" t="n">
        <v>45906</v>
      </c>
      <c r="C17" s="7">
        <f>IF(B17="","미기재",TEXT(B17,"yyyy-mm"))</f>
        <v/>
      </c>
      <c r="D17" s="7" t="inlineStr">
        <is>
          <t>17:34</t>
        </is>
      </c>
      <c r="E17" s="9" t="inlineStr">
        <is>
          <t>Uncle Tetsu (Yonge &amp; Sheppard)</t>
        </is>
      </c>
      <c r="F17" s="9" t="inlineStr">
        <is>
          <t>Uncle Tetsu</t>
        </is>
      </c>
      <c r="G17" s="9" t="inlineStr">
        <is>
          <t>4909 Yonge St, Toronto</t>
        </is>
      </c>
      <c r="H17" s="7" t="inlineStr">
        <is>
          <t>CAD</t>
        </is>
      </c>
      <c r="I17" s="10" t="n">
        <v>14.75</v>
      </c>
      <c r="J17" s="10" t="n">
        <v>0</v>
      </c>
      <c r="K17" s="10" t="n"/>
      <c r="L17" s="10" t="n"/>
      <c r="M17" s="10" t="n">
        <v>14.75</v>
      </c>
      <c r="N17" s="9" t="inlineStr">
        <is>
          <t>Mastercard</t>
        </is>
      </c>
      <c r="O17" s="7" t="inlineStr">
        <is>
          <t>Y</t>
        </is>
      </c>
      <c r="P17" s="9" t="n"/>
      <c r="Q17" s="9" t="inlineStr">
        <is>
          <t>IMG_5530.HEIC</t>
        </is>
      </c>
    </row>
    <row r="18">
      <c r="A18" s="7" t="n">
        <v>13</v>
      </c>
      <c r="B18" s="8" t="n">
        <v>45906</v>
      </c>
      <c r="C18" s="7">
        <f>IF(B18="","미기재",TEXT(B18,"yyyy-mm"))</f>
        <v/>
      </c>
      <c r="D18" s="7" t="inlineStr">
        <is>
          <t>17:41</t>
        </is>
      </c>
      <c r="E18" s="9" t="inlineStr">
        <is>
          <t>주차 (Alpha Control, 미터 742809)</t>
        </is>
      </c>
      <c r="F18" s="9" t="inlineStr">
        <is>
          <t>주차 (Alpha Control, 미터 742809)</t>
        </is>
      </c>
      <c r="G18" s="9" t="inlineStr">
        <is>
          <t>주소 미기재</t>
        </is>
      </c>
      <c r="H18" s="7" t="inlineStr">
        <is>
          <t>CAD</t>
        </is>
      </c>
      <c r="I18" s="10" t="n"/>
      <c r="J18" s="10" t="n"/>
      <c r="K18" s="10" t="n"/>
      <c r="L18" s="10" t="n"/>
      <c r="M18" s="10" t="n">
        <v>1</v>
      </c>
      <c r="N18" s="9" t="n"/>
      <c r="O18" s="7" t="inlineStr">
        <is>
          <t>Y</t>
        </is>
      </c>
      <c r="P18" s="9" t="inlineStr">
        <is>
          <t>이메일 영수증 / 세금 내역 없음</t>
        </is>
      </c>
      <c r="Q18" s="9" t="inlineStr">
        <is>
          <t>IMG_5607.HEIC</t>
        </is>
      </c>
    </row>
    <row r="19">
      <c r="A19" s="7" t="n">
        <v>14</v>
      </c>
      <c r="B19" s="8" t="n">
        <v>45906</v>
      </c>
      <c r="C19" s="7">
        <f>IF(B19="","미기재",TEXT(B19,"yyyy-mm"))</f>
        <v/>
      </c>
      <c r="D19" s="7" t="inlineStr">
        <is>
          <t>18:45</t>
        </is>
      </c>
      <c r="E19" s="9" t="inlineStr">
        <is>
          <t>Parksmart (주차, Mobile Permit)</t>
        </is>
      </c>
      <c r="F19" s="9" t="inlineStr">
        <is>
          <t>Parksmart (주차, Mobile Permit)</t>
        </is>
      </c>
      <c r="G19" s="9" t="inlineStr">
        <is>
          <t>151 Beecroft Rd, Toronto</t>
        </is>
      </c>
      <c r="H19" s="7" t="inlineStr">
        <is>
          <t>CAD</t>
        </is>
      </c>
      <c r="I19" s="10" t="n"/>
      <c r="J19" s="10" t="n"/>
      <c r="K19" s="10" t="n"/>
      <c r="L19" s="10" t="n"/>
      <c r="M19" s="10" t="n">
        <v>4.37</v>
      </c>
      <c r="N19" s="9" t="n"/>
      <c r="O19" s="7" t="inlineStr">
        <is>
          <t>Y</t>
        </is>
      </c>
      <c r="P19" s="9" t="inlineStr">
        <is>
          <t>이메일 인보이스 / 세금 내역 없음</t>
        </is>
      </c>
      <c r="Q19" s="9" t="inlineStr">
        <is>
          <t>IMG_5619.HEIC</t>
        </is>
      </c>
    </row>
    <row r="20">
      <c r="A20" s="7" t="n">
        <v>15</v>
      </c>
      <c r="B20" s="8" t="n">
        <v>45909</v>
      </c>
      <c r="C20" s="7">
        <f>IF(B20="","미기재",TEXT(B20,"yyyy-mm"))</f>
        <v/>
      </c>
      <c r="D20" s="7" t="inlineStr">
        <is>
          <t>18:25</t>
        </is>
      </c>
      <c r="E20" s="9" t="inlineStr">
        <is>
          <t>Staples (Grand Park)</t>
        </is>
      </c>
      <c r="F20" s="9" t="inlineStr">
        <is>
          <t>Staples</t>
        </is>
      </c>
      <c r="G20" s="9" t="inlineStr">
        <is>
          <t>3950 Grand Park Dr, Mississauga</t>
        </is>
      </c>
      <c r="H20" s="7" t="inlineStr">
        <is>
          <t>CAD</t>
        </is>
      </c>
      <c r="I20" s="10" t="n">
        <v>2.58</v>
      </c>
      <c r="J20" s="10" t="n">
        <v>0.34</v>
      </c>
      <c r="K20" s="10" t="n"/>
      <c r="L20" s="10" t="n"/>
      <c r="M20" s="10" t="n">
        <v>2.92</v>
      </c>
      <c r="N20" s="9" t="inlineStr">
        <is>
          <t>Mastercard</t>
        </is>
      </c>
      <c r="O20" s="7" t="inlineStr">
        <is>
          <t>Y</t>
        </is>
      </c>
      <c r="P20" s="9" t="inlineStr">
        <is>
          <t>PC 대여 + 컬러 출력</t>
        </is>
      </c>
      <c r="Q20" s="9" t="inlineStr">
        <is>
          <t>IMG_5615.HEIC</t>
        </is>
      </c>
    </row>
    <row r="21">
      <c r="A21" s="7" t="n">
        <v>16</v>
      </c>
      <c r="B21" s="8" t="n">
        <v>45910</v>
      </c>
      <c r="C21" s="7">
        <f>IF(B21="","미기재",TEXT(B21,"yyyy-mm"))</f>
        <v/>
      </c>
      <c r="D21" s="7" t="inlineStr">
        <is>
          <t>17:34</t>
        </is>
      </c>
      <c r="E21" s="9" t="inlineStr">
        <is>
          <t>Domino's Pizza #10482</t>
        </is>
      </c>
      <c r="F21" s="9" t="inlineStr">
        <is>
          <t>Domino's Pizza</t>
        </is>
      </c>
      <c r="G21" s="9" t="inlineStr">
        <is>
          <t>3843 Bloor St W, Etobicoke</t>
        </is>
      </c>
      <c r="H21" s="7" t="inlineStr">
        <is>
          <t>CAD</t>
        </is>
      </c>
      <c r="I21" s="10" t="n">
        <v>19</v>
      </c>
      <c r="J21" s="10" t="n">
        <v>2.47</v>
      </c>
      <c r="K21" s="10" t="n"/>
      <c r="L21" s="10" t="n"/>
      <c r="M21" s="10" t="n">
        <v>21.47</v>
      </c>
      <c r="N21" s="9" t="inlineStr">
        <is>
          <t>Visa</t>
        </is>
      </c>
      <c r="O21" s="7" t="inlineStr">
        <is>
          <t>Y</t>
        </is>
      </c>
      <c r="P21" s="9" t="inlineStr">
        <is>
          <t>50% 피자 쿠폰 -18.98 적용 / 날짜는 카드전표(IMG_5521) 기준</t>
        </is>
      </c>
      <c r="Q21" s="9" t="inlineStr">
        <is>
          <t>IMG_5522.HEIC</t>
        </is>
      </c>
    </row>
    <row r="22">
      <c r="A22" s="11" t="n">
        <v>17</v>
      </c>
      <c r="B22" s="12" t="n">
        <v>45910</v>
      </c>
      <c r="C22" s="11">
        <f>IF(B22="","미기재",TEXT(B22,"yyyy-mm"))</f>
        <v/>
      </c>
      <c r="D22" s="11" t="inlineStr">
        <is>
          <t>18:00</t>
        </is>
      </c>
      <c r="E22" s="13" t="inlineStr">
        <is>
          <t>Domino's Pizza #10482</t>
        </is>
      </c>
      <c r="F22" s="13" t="inlineStr">
        <is>
          <t>Domino's Pizza</t>
        </is>
      </c>
      <c r="G22" s="13" t="inlineStr">
        <is>
          <t>3843 Bloor St W, Etobicoke</t>
        </is>
      </c>
      <c r="H22" s="11" t="inlineStr">
        <is>
          <t>CAD</t>
        </is>
      </c>
      <c r="I22" s="14" t="n"/>
      <c r="J22" s="14" t="n"/>
      <c r="K22" s="14" t="n"/>
      <c r="L22" s="14" t="n"/>
      <c r="M22" s="14" t="n">
        <v>21.47</v>
      </c>
      <c r="N22" s="13" t="inlineStr">
        <is>
          <t>Visa</t>
        </is>
      </c>
      <c r="O22" s="11" t="inlineStr">
        <is>
          <t>N</t>
        </is>
      </c>
      <c r="P22" s="13" t="inlineStr">
        <is>
          <t>[중복] IMG_5522와 같은 거래의 카드전표 - 합계 제외</t>
        </is>
      </c>
      <c r="Q22" s="13" t="inlineStr">
        <is>
          <t>IMG_5521.HEIC</t>
        </is>
      </c>
    </row>
    <row r="23">
      <c r="A23" s="7" t="n">
        <v>18</v>
      </c>
      <c r="B23" s="8" t="n">
        <v>45913</v>
      </c>
      <c r="C23" s="7">
        <f>IF(B23="","미기재",TEXT(B23,"yyyy-mm"))</f>
        <v/>
      </c>
      <c r="D23" s="7" t="inlineStr">
        <is>
          <t>09:30</t>
        </is>
      </c>
      <c r="E23" s="9" t="inlineStr">
        <is>
          <t>McDonald's (#1320)</t>
        </is>
      </c>
      <c r="F23" s="9" t="inlineStr">
        <is>
          <t>McDonald's</t>
        </is>
      </c>
      <c r="G23" s="9" t="inlineStr">
        <is>
          <t>주소 미기재</t>
        </is>
      </c>
      <c r="H23" s="7" t="inlineStr">
        <is>
          <t>CAD</t>
        </is>
      </c>
      <c r="I23" s="10" t="n">
        <v>16.59</v>
      </c>
      <c r="J23" s="10" t="n">
        <v>2.16</v>
      </c>
      <c r="K23" s="10" t="n"/>
      <c r="L23" s="10" t="n"/>
      <c r="M23" s="10" t="n">
        <v>18.75</v>
      </c>
      <c r="N23" s="9" t="inlineStr">
        <is>
          <t>Mastercard</t>
        </is>
      </c>
      <c r="O23" s="7" t="inlineStr">
        <is>
          <t>Y</t>
        </is>
      </c>
      <c r="P23" s="9" t="inlineStr">
        <is>
          <t>Two Can Dine 할인 -2.40</t>
        </is>
      </c>
      <c r="Q23" s="9" t="inlineStr">
        <is>
          <t>IMG_5528.HEIC</t>
        </is>
      </c>
    </row>
    <row r="24">
      <c r="A24" s="7" t="n">
        <v>19</v>
      </c>
      <c r="B24" s="8" t="n">
        <v>45913</v>
      </c>
      <c r="C24" s="7">
        <f>IF(B24="","미기재",TEXT(B24,"yyyy-mm"))</f>
        <v/>
      </c>
      <c r="D24" s="7" t="inlineStr">
        <is>
          <t>09:38</t>
        </is>
      </c>
      <c r="E24" s="9" t="inlineStr">
        <is>
          <t>McDonald's (#1320)</t>
        </is>
      </c>
      <c r="F24" s="9" t="inlineStr">
        <is>
          <t>McDonald's</t>
        </is>
      </c>
      <c r="G24" s="9" t="inlineStr">
        <is>
          <t>주소 미기재</t>
        </is>
      </c>
      <c r="H24" s="7" t="inlineStr">
        <is>
          <t>CAD</t>
        </is>
      </c>
      <c r="I24" s="10" t="n">
        <v>12.06</v>
      </c>
      <c r="J24" s="10" t="n">
        <v>1.57</v>
      </c>
      <c r="K24" s="10" t="n"/>
      <c r="L24" s="10" t="n"/>
      <c r="M24" s="10" t="n">
        <v>13.63</v>
      </c>
      <c r="N24" s="9" t="inlineStr">
        <is>
          <t>Mastercard</t>
        </is>
      </c>
      <c r="O24" s="7" t="inlineStr">
        <is>
          <t>Y</t>
        </is>
      </c>
      <c r="P24" s="9" t="inlineStr">
        <is>
          <t>Two Can Dine 할인 -3.60</t>
        </is>
      </c>
      <c r="Q24" s="9" t="inlineStr">
        <is>
          <t>IMG_5529.HEIC</t>
        </is>
      </c>
    </row>
    <row r="25">
      <c r="A25" s="7" t="n">
        <v>20</v>
      </c>
      <c r="B25" s="8" t="n">
        <v>45913</v>
      </c>
      <c r="C25" s="7">
        <f>IF(B25="","미기재",TEXT(B25,"yyyy-mm"))</f>
        <v/>
      </c>
      <c r="D25" s="7" t="inlineStr">
        <is>
          <t>10:36</t>
        </is>
      </c>
      <c r="E25" s="9" t="inlineStr">
        <is>
          <t>Costco Gas (#1655)</t>
        </is>
      </c>
      <c r="F25" s="9" t="inlineStr">
        <is>
          <t>Costco 주유소</t>
        </is>
      </c>
      <c r="G25" s="9" t="inlineStr">
        <is>
          <t>2260 Islington Ave, Etobicoke</t>
        </is>
      </c>
      <c r="H25" s="7" t="inlineStr">
        <is>
          <t>CAD</t>
        </is>
      </c>
      <c r="I25" s="10" t="n">
        <v>63.13</v>
      </c>
      <c r="J25" s="10" t="n">
        <v>8.210000000000001</v>
      </c>
      <c r="K25" s="10" t="n"/>
      <c r="L25" s="10" t="n"/>
      <c r="M25" s="10" t="n">
        <v>71.34</v>
      </c>
      <c r="N25" s="9" t="inlineStr">
        <is>
          <t>Mastercard</t>
        </is>
      </c>
      <c r="O25" s="7" t="inlineStr">
        <is>
          <t>Y</t>
        </is>
      </c>
      <c r="P25" s="9" t="inlineStr">
        <is>
          <t>주유 52.114L (HST 포함가)</t>
        </is>
      </c>
      <c r="Q25" s="9" t="inlineStr">
        <is>
          <t>IMG_5543.HEIC</t>
        </is>
      </c>
    </row>
    <row r="26">
      <c r="A26" s="7" t="n">
        <v>21</v>
      </c>
      <c r="B26" s="8" t="n">
        <v>45914</v>
      </c>
      <c r="C26" s="7">
        <f>IF(B26="","미기재",TEXT(B26,"yyyy-mm"))</f>
        <v/>
      </c>
      <c r="D26" s="7" t="inlineStr">
        <is>
          <t>18:08</t>
        </is>
      </c>
      <c r="E26" s="9" t="inlineStr">
        <is>
          <t>Tim Hortons</t>
        </is>
      </c>
      <c r="F26" s="9" t="inlineStr">
        <is>
          <t>Tim Hortons</t>
        </is>
      </c>
      <c r="G26" s="9" t="inlineStr">
        <is>
          <t>415 The Westway, Etobicoke</t>
        </is>
      </c>
      <c r="H26" s="7" t="inlineStr">
        <is>
          <t>CAD</t>
        </is>
      </c>
      <c r="I26" s="10" t="n">
        <v>9.99</v>
      </c>
      <c r="J26" s="10" t="n">
        <v>0</v>
      </c>
      <c r="K26" s="10" t="n"/>
      <c r="L26" s="10" t="n"/>
      <c r="M26" s="10" t="n">
        <v>9.99</v>
      </c>
      <c r="N26" s="9" t="inlineStr">
        <is>
          <t>Mastercard</t>
        </is>
      </c>
      <c r="O26" s="7" t="inlineStr">
        <is>
          <t>Y</t>
        </is>
      </c>
      <c r="P26" s="9" t="n"/>
      <c r="Q26" s="9" t="inlineStr">
        <is>
          <t>IMG_5542.HEIC</t>
        </is>
      </c>
    </row>
    <row r="27">
      <c r="A27" s="7" t="n">
        <v>22</v>
      </c>
      <c r="B27" s="8" t="n">
        <v>45916</v>
      </c>
      <c r="C27" s="7">
        <f>IF(B27="","미기재",TEXT(B27,"yyyy-mm"))</f>
        <v/>
      </c>
      <c r="D27" s="7" t="n"/>
      <c r="E27" s="9" t="inlineStr">
        <is>
          <t>Costco.ca 온라인 주문</t>
        </is>
      </c>
      <c r="F27" s="9" t="inlineStr">
        <is>
          <t>Costco.ca (온라인)</t>
        </is>
      </c>
      <c r="G27" s="9" t="inlineStr">
        <is>
          <t>온라인 (Order #1224456138)</t>
        </is>
      </c>
      <c r="H27" s="7" t="inlineStr">
        <is>
          <t>CAD</t>
        </is>
      </c>
      <c r="I27" s="10" t="n">
        <v>1299.99</v>
      </c>
      <c r="J27" s="10" t="n">
        <v>169</v>
      </c>
      <c r="K27" s="10" t="n"/>
      <c r="L27" s="10" t="n"/>
      <c r="M27" s="10" t="n">
        <v>1468.99</v>
      </c>
      <c r="N27" s="9" t="inlineStr">
        <is>
          <t>Mastercard</t>
        </is>
      </c>
      <c r="O27" s="7" t="inlineStr">
        <is>
          <t>Y</t>
        </is>
      </c>
      <c r="P27" s="9" t="inlineStr">
        <is>
          <t>Bayside 7피스 식탁세트 / 배송지 Mississauga</t>
        </is>
      </c>
      <c r="Q27" s="9" t="inlineStr">
        <is>
          <t>IMG_5620.HEIC</t>
        </is>
      </c>
    </row>
    <row r="28">
      <c r="A28" s="7" t="n">
        <v>23</v>
      </c>
      <c r="B28" s="8" t="n">
        <v>45916</v>
      </c>
      <c r="C28" s="7">
        <f>IF(B28="","미기재",TEXT(B28,"yyyy-mm"))</f>
        <v/>
      </c>
      <c r="D28" s="7" t="inlineStr">
        <is>
          <t>18:16</t>
        </is>
      </c>
      <c r="E28" s="9" t="inlineStr">
        <is>
          <t>Machi Machi (Eaton Centre)</t>
        </is>
      </c>
      <c r="F28" s="9" t="inlineStr">
        <is>
          <t>Machi Machi (Eaton Centre)</t>
        </is>
      </c>
      <c r="G28" s="9" t="inlineStr">
        <is>
          <t>220 Yonge St, Toronto</t>
        </is>
      </c>
      <c r="H28" s="7" t="inlineStr">
        <is>
          <t>CAD</t>
        </is>
      </c>
      <c r="I28" s="10" t="n">
        <v>7.9</v>
      </c>
      <c r="J28" s="10" t="n">
        <v>1.03</v>
      </c>
      <c r="K28" s="10" t="n"/>
      <c r="L28" s="10" t="n"/>
      <c r="M28" s="10" t="n">
        <v>8.93</v>
      </c>
      <c r="N28" s="9" t="inlineStr">
        <is>
          <t>Debit</t>
        </is>
      </c>
      <c r="O28" s="7" t="inlineStr">
        <is>
          <t>Y</t>
        </is>
      </c>
      <c r="P28" s="9" t="inlineStr">
        <is>
          <t>소계 15.80에서 직원할인 -7.90 적용</t>
        </is>
      </c>
      <c r="Q28" s="9" t="inlineStr">
        <is>
          <t>IMG_5520.HEIC</t>
        </is>
      </c>
    </row>
    <row r="29">
      <c r="A29" s="7" t="n">
        <v>24</v>
      </c>
      <c r="B29" s="8" t="n">
        <v>45920</v>
      </c>
      <c r="C29" s="7">
        <f>IF(B29="","미기재",TEXT(B29,"yyyy-mm"))</f>
        <v/>
      </c>
      <c r="D29" s="7" t="inlineStr">
        <is>
          <t>19:52</t>
        </is>
      </c>
      <c r="E29" s="9" t="inlineStr">
        <is>
          <t>Tim Hortons</t>
        </is>
      </c>
      <c r="F29" s="9" t="inlineStr">
        <is>
          <t>Tim Hortons</t>
        </is>
      </c>
      <c r="G29" s="9" t="inlineStr">
        <is>
          <t>415 The Westway, Etobicoke</t>
        </is>
      </c>
      <c r="H29" s="7" t="inlineStr">
        <is>
          <t>CAD</t>
        </is>
      </c>
      <c r="I29" s="10" t="n">
        <v>9.99</v>
      </c>
      <c r="J29" s="10" t="n">
        <v>0</v>
      </c>
      <c r="K29" s="10" t="n"/>
      <c r="L29" s="10" t="n"/>
      <c r="M29" s="10" t="n">
        <v>9.99</v>
      </c>
      <c r="N29" s="9" t="inlineStr">
        <is>
          <t>Mastercard</t>
        </is>
      </c>
      <c r="O29" s="7" t="inlineStr">
        <is>
          <t>Y</t>
        </is>
      </c>
      <c r="P29" s="9" t="n"/>
      <c r="Q29" s="9" t="inlineStr">
        <is>
          <t>IMG_5540.HEIC</t>
        </is>
      </c>
    </row>
    <row r="30">
      <c r="A30" s="7" t="n">
        <v>25</v>
      </c>
      <c r="B30" s="8" t="n">
        <v>45922</v>
      </c>
      <c r="C30" s="7">
        <f>IF(B30="","미기재",TEXT(B30,"yyyy-mm"))</f>
        <v/>
      </c>
      <c r="D30" s="7" t="inlineStr">
        <is>
          <t>06:45</t>
        </is>
      </c>
      <c r="E30" s="9" t="inlineStr">
        <is>
          <t>Etobicoke Olympium (FitnessTO)</t>
        </is>
      </c>
      <c r="F30" s="9" t="inlineStr">
        <is>
          <t>Etobicoke Olympium (FitnessTO)</t>
        </is>
      </c>
      <c r="G30" s="9" t="inlineStr">
        <is>
          <t>590 Rathburn Rd, Toronto</t>
        </is>
      </c>
      <c r="H30" s="7" t="inlineStr">
        <is>
          <t>CAD</t>
        </is>
      </c>
      <c r="I30" s="10" t="n">
        <v>219.88</v>
      </c>
      <c r="J30" s="10" t="n">
        <v>28.58</v>
      </c>
      <c r="K30" s="10" t="n"/>
      <c r="L30" s="10" t="n"/>
      <c r="M30" s="10" t="n">
        <v>248.46</v>
      </c>
      <c r="N30" s="9" t="inlineStr">
        <is>
          <t>Visa</t>
        </is>
      </c>
      <c r="O30" s="7" t="inlineStr">
        <is>
          <t>Y</t>
        </is>
      </c>
      <c r="P30" s="9" t="inlineStr">
        <is>
          <t>멤버십(영수증 일부 가려짐)</t>
        </is>
      </c>
      <c r="Q30" s="9" t="inlineStr">
        <is>
          <t>IMG_5592.HEIC</t>
        </is>
      </c>
    </row>
    <row r="31">
      <c r="A31" s="7" t="n">
        <v>26</v>
      </c>
      <c r="B31" s="8" t="n">
        <v>45922</v>
      </c>
      <c r="C31" s="7">
        <f>IF(B31="","미기재",TEXT(B31,"yyyy-mm"))</f>
        <v/>
      </c>
      <c r="D31" s="7" t="inlineStr">
        <is>
          <t>15:20</t>
        </is>
      </c>
      <c r="E31" s="9" t="inlineStr">
        <is>
          <t>Uncle Tetsu (Yonge &amp; Sheppard)</t>
        </is>
      </c>
      <c r="F31" s="9" t="inlineStr">
        <is>
          <t>Uncle Tetsu</t>
        </is>
      </c>
      <c r="G31" s="9" t="inlineStr">
        <is>
          <t>4909 Yonge St, Toronto</t>
        </is>
      </c>
      <c r="H31" s="7" t="inlineStr">
        <is>
          <t>CAD</t>
        </is>
      </c>
      <c r="I31" s="10" t="n">
        <v>14.75</v>
      </c>
      <c r="J31" s="10" t="n">
        <v>0</v>
      </c>
      <c r="K31" s="10" t="n"/>
      <c r="L31" s="10" t="n"/>
      <c r="M31" s="10" t="n">
        <v>14.75</v>
      </c>
      <c r="N31" s="9" t="inlineStr">
        <is>
          <t>Mastercard</t>
        </is>
      </c>
      <c r="O31" s="7" t="inlineStr">
        <is>
          <t>Y</t>
        </is>
      </c>
      <c r="P31" s="9" t="inlineStr">
        <is>
          <t>영수증+카드전표 한 장에 촬영</t>
        </is>
      </c>
      <c r="Q31" s="9" t="inlineStr">
        <is>
          <t>IMG_5525.HEIC</t>
        </is>
      </c>
    </row>
    <row r="32">
      <c r="A32" s="7" t="n">
        <v>27</v>
      </c>
      <c r="B32" s="8" t="n">
        <v>45922</v>
      </c>
      <c r="C32" s="7">
        <f>IF(B32="","미기재",TEXT(B32,"yyyy-mm"))</f>
        <v/>
      </c>
      <c r="D32" s="7" t="inlineStr">
        <is>
          <t>18:08</t>
        </is>
      </c>
      <c r="E32" s="9" t="inlineStr">
        <is>
          <t>Kin-Kin Bakery &amp; Bubble Tea</t>
        </is>
      </c>
      <c r="F32" s="9" t="inlineStr">
        <is>
          <t>Kin Kin Bakery</t>
        </is>
      </c>
      <c r="G32" s="9" t="inlineStr">
        <is>
          <t>Yonge-Sheppard Centre (4841 Yonge St), Toronto</t>
        </is>
      </c>
      <c r="H32" s="7" t="inlineStr">
        <is>
          <t>CAD</t>
        </is>
      </c>
      <c r="I32" s="10" t="n">
        <v>18.99</v>
      </c>
      <c r="J32" s="10" t="n">
        <v>0</v>
      </c>
      <c r="K32" s="10" t="n"/>
      <c r="L32" s="10" t="n"/>
      <c r="M32" s="10" t="n">
        <v>18.99</v>
      </c>
      <c r="N32" s="9" t="inlineStr">
        <is>
          <t>Mastercard</t>
        </is>
      </c>
      <c r="O32" s="7" t="inlineStr">
        <is>
          <t>Y</t>
        </is>
      </c>
      <c r="P32" s="9" t="inlineStr">
        <is>
          <t>주문서엔 Cash 표기, 같은 시각 카드전표(IMG_5526)로 결제 확인</t>
        </is>
      </c>
      <c r="Q32" s="9" t="inlineStr">
        <is>
          <t>IMG_5524.HEIC</t>
        </is>
      </c>
    </row>
    <row r="33">
      <c r="A33" s="11" t="n">
        <v>28</v>
      </c>
      <c r="B33" s="12" t="n">
        <v>45922</v>
      </c>
      <c r="C33" s="11">
        <f>IF(B33="","미기재",TEXT(B33,"yyyy-mm"))</f>
        <v/>
      </c>
      <c r="D33" s="11" t="inlineStr">
        <is>
          <t>18:08</t>
        </is>
      </c>
      <c r="E33" s="13" t="inlineStr">
        <is>
          <t>Kin Kin Bakery</t>
        </is>
      </c>
      <c r="F33" s="13" t="inlineStr">
        <is>
          <t>Kin Kin Bakery</t>
        </is>
      </c>
      <c r="G33" s="13" t="inlineStr">
        <is>
          <t>4841 Yonge St, Toronto</t>
        </is>
      </c>
      <c r="H33" s="11" t="inlineStr">
        <is>
          <t>CAD</t>
        </is>
      </c>
      <c r="I33" s="14" t="n"/>
      <c r="J33" s="14" t="n"/>
      <c r="K33" s="14" t="n"/>
      <c r="L33" s="14" t="n"/>
      <c r="M33" s="14" t="n">
        <v>18.99</v>
      </c>
      <c r="N33" s="13" t="inlineStr">
        <is>
          <t>Mastercard</t>
        </is>
      </c>
      <c r="O33" s="11" t="inlineStr">
        <is>
          <t>N</t>
        </is>
      </c>
      <c r="P33" s="13" t="inlineStr">
        <is>
          <t>[중복] IMG_5524와 같은 거래의 카드전표 - 합계 제외</t>
        </is>
      </c>
      <c r="Q33" s="13" t="inlineStr">
        <is>
          <t>IMG_5526.HEIC</t>
        </is>
      </c>
    </row>
    <row r="34">
      <c r="A34" s="7" t="n">
        <v>29</v>
      </c>
      <c r="B34" s="8" t="n">
        <v>45924</v>
      </c>
      <c r="C34" s="7">
        <f>IF(B34="","미기재",TEXT(B34,"yyyy-mm"))</f>
        <v/>
      </c>
      <c r="D34" s="7" t="inlineStr">
        <is>
          <t>14:54</t>
        </is>
      </c>
      <c r="E34" s="9" t="inlineStr">
        <is>
          <t>Tim Hortons</t>
        </is>
      </c>
      <c r="F34" s="9" t="inlineStr">
        <is>
          <t>Tim Hortons</t>
        </is>
      </c>
      <c r="G34" s="9" t="inlineStr">
        <is>
          <t>1327 Dundas St E, Mississauga</t>
        </is>
      </c>
      <c r="H34" s="7" t="inlineStr">
        <is>
          <t>CAD</t>
        </is>
      </c>
      <c r="I34" s="10" t="n">
        <v>3.66</v>
      </c>
      <c r="J34" s="10" t="n">
        <v>0.18</v>
      </c>
      <c r="K34" s="10" t="n"/>
      <c r="L34" s="10" t="n"/>
      <c r="M34" s="10" t="n">
        <v>3.84</v>
      </c>
      <c r="N34" s="9" t="inlineStr">
        <is>
          <t>Mastercard</t>
        </is>
      </c>
      <c r="O34" s="7" t="inlineStr">
        <is>
          <t>Y</t>
        </is>
      </c>
      <c r="P34" s="9" t="n"/>
      <c r="Q34" s="9" t="inlineStr">
        <is>
          <t>IMG_5523.HEIC</t>
        </is>
      </c>
    </row>
    <row r="35">
      <c r="A35" s="7" t="n">
        <v>30</v>
      </c>
      <c r="B35" s="8" t="n">
        <v>45925</v>
      </c>
      <c r="C35" s="7">
        <f>IF(B35="","미기재",TEXT(B35,"yyyy-mm"))</f>
        <v/>
      </c>
      <c r="D35" s="7" t="inlineStr">
        <is>
          <t>19:09</t>
        </is>
      </c>
      <c r="E35" s="9" t="inlineStr">
        <is>
          <t>Woojoo</t>
        </is>
      </c>
      <c r="F35" s="9" t="inlineStr">
        <is>
          <t>Woojoo</t>
        </is>
      </c>
      <c r="G35" s="9" t="inlineStr">
        <is>
          <t>417 Bloor St W, Toronto</t>
        </is>
      </c>
      <c r="H35" s="7" t="inlineStr">
        <is>
          <t>CAD</t>
        </is>
      </c>
      <c r="I35" s="10" t="n">
        <v>44.95</v>
      </c>
      <c r="J35" s="10" t="n">
        <v>5.84</v>
      </c>
      <c r="K35" s="10" t="n"/>
      <c r="L35" s="10" t="n"/>
      <c r="M35" s="10" t="n">
        <v>50.79</v>
      </c>
      <c r="N35" s="9" t="inlineStr">
        <is>
          <t>Cash</t>
        </is>
      </c>
      <c r="O35" s="7" t="inlineStr">
        <is>
          <t>Y</t>
        </is>
      </c>
      <c r="P35" s="9" t="inlineStr">
        <is>
          <t>10% 할인 -5.00 적용</t>
        </is>
      </c>
      <c r="Q35" s="9" t="inlineStr">
        <is>
          <t>IMG_5527.HEIC</t>
        </is>
      </c>
    </row>
    <row r="36">
      <c r="A36" s="7" t="n">
        <v>31</v>
      </c>
      <c r="B36" s="8" t="n">
        <v>45926</v>
      </c>
      <c r="C36" s="7">
        <f>IF(B36="","미기재",TEXT(B36,"yyyy-mm"))</f>
        <v/>
      </c>
      <c r="D36" s="7" t="inlineStr">
        <is>
          <t>12:16</t>
        </is>
      </c>
      <c r="E36" s="9" t="inlineStr">
        <is>
          <t>Duct Cleaning &amp; HVAC</t>
        </is>
      </c>
      <c r="F36" s="9" t="inlineStr">
        <is>
          <t>Duct Cleaning &amp; HVAC</t>
        </is>
      </c>
      <c r="G36" s="9" t="inlineStr">
        <is>
          <t>Toronto (M1J 3E7)</t>
        </is>
      </c>
      <c r="H36" s="7" t="inlineStr">
        <is>
          <t>CAD</t>
        </is>
      </c>
      <c r="I36" s="10" t="n"/>
      <c r="J36" s="10" t="n"/>
      <c r="K36" s="10" t="n"/>
      <c r="L36" s="10" t="n">
        <v>56.5</v>
      </c>
      <c r="M36" s="10" t="n">
        <v>621.5</v>
      </c>
      <c r="N36" s="9" t="inlineStr">
        <is>
          <t>Mastercard</t>
        </is>
      </c>
      <c r="O36" s="7" t="inlineStr">
        <is>
          <t>Y</t>
        </is>
      </c>
      <c r="P36" s="9" t="inlineStr">
        <is>
          <t>카드전표만(세금 내역 없음) / 금액 565.00 + 팁 56.50</t>
        </is>
      </c>
      <c r="Q36" s="9" t="inlineStr">
        <is>
          <t>IMG_5535.HEIC</t>
        </is>
      </c>
    </row>
    <row r="37">
      <c r="A37" s="7" t="n">
        <v>32</v>
      </c>
      <c r="B37" s="8" t="n">
        <v>45929</v>
      </c>
      <c r="C37" s="7">
        <f>IF(B37="","미기재",TEXT(B37,"yyyy-mm"))</f>
        <v/>
      </c>
      <c r="D37" s="7" t="inlineStr">
        <is>
          <t>16:16</t>
        </is>
      </c>
      <c r="E37" s="9" t="inlineStr">
        <is>
          <t>Copyright Copy Centre</t>
        </is>
      </c>
      <c r="F37" s="9" t="inlineStr">
        <is>
          <t>Copyright Copy Centre</t>
        </is>
      </c>
      <c r="G37" s="9" t="inlineStr">
        <is>
          <t>215 Carlingview Dr, Etobicoke</t>
        </is>
      </c>
      <c r="H37" s="7" t="inlineStr">
        <is>
          <t>CAD</t>
        </is>
      </c>
      <c r="I37" s="10" t="n"/>
      <c r="J37" s="10" t="n"/>
      <c r="K37" s="10" t="n"/>
      <c r="L37" s="10" t="n"/>
      <c r="M37" s="10" t="n">
        <v>4</v>
      </c>
      <c r="N37" s="9" t="inlineStr">
        <is>
          <t>Mastercard</t>
        </is>
      </c>
      <c r="O37" s="7" t="inlineStr">
        <is>
          <t>Y</t>
        </is>
      </c>
      <c r="P37" s="9" t="inlineStr">
        <is>
          <t>카드전표만(세금 내역 없음)</t>
        </is>
      </c>
      <c r="Q37" s="9" t="inlineStr">
        <is>
          <t>IMG_5546.HEIC</t>
        </is>
      </c>
    </row>
    <row r="38">
      <c r="A38" s="7" t="n">
        <v>33</v>
      </c>
      <c r="B38" s="8" t="n">
        <v>45932</v>
      </c>
      <c r="C38" s="7">
        <f>IF(B38="","미기재",TEXT(B38,"yyyy-mm"))</f>
        <v/>
      </c>
      <c r="D38" s="7" t="inlineStr">
        <is>
          <t>09:40</t>
        </is>
      </c>
      <c r="E38" s="9" t="inlineStr">
        <is>
          <t>Kin-Kin Bakery &amp; Bubble Tea</t>
        </is>
      </c>
      <c r="F38" s="9" t="inlineStr">
        <is>
          <t>Kin Kin Bakery</t>
        </is>
      </c>
      <c r="G38" s="9" t="inlineStr">
        <is>
          <t>Yonge-Sheppard Centre (4841 Yonge St), Toronto</t>
        </is>
      </c>
      <c r="H38" s="7" t="inlineStr">
        <is>
          <t>CAD</t>
        </is>
      </c>
      <c r="I38" s="10" t="n">
        <v>25.98</v>
      </c>
      <c r="J38" s="10" t="n">
        <v>0</v>
      </c>
      <c r="K38" s="10" t="n"/>
      <c r="L38" s="10" t="n"/>
      <c r="M38" s="10" t="n">
        <v>25.98</v>
      </c>
      <c r="N38" s="9" t="inlineStr">
        <is>
          <t>Mastercard</t>
        </is>
      </c>
      <c r="O38" s="7" t="inlineStr">
        <is>
          <t>Y</t>
        </is>
      </c>
      <c r="P38" s="9" t="inlineStr">
        <is>
          <t>주문서엔 Cash 표기, 같은 시각 카드전표(IMG_5548)로 결제 확인</t>
        </is>
      </c>
      <c r="Q38" s="9" t="inlineStr">
        <is>
          <t>IMG_5549.HEIC</t>
        </is>
      </c>
    </row>
    <row r="39">
      <c r="A39" s="11" t="n">
        <v>34</v>
      </c>
      <c r="B39" s="12" t="n">
        <v>45932</v>
      </c>
      <c r="C39" s="11">
        <f>IF(B39="","미기재",TEXT(B39,"yyyy-mm"))</f>
        <v/>
      </c>
      <c r="D39" s="11" t="inlineStr">
        <is>
          <t>09:42</t>
        </is>
      </c>
      <c r="E39" s="13" t="inlineStr">
        <is>
          <t>Kin Kin Bakery</t>
        </is>
      </c>
      <c r="F39" s="13" t="inlineStr">
        <is>
          <t>Kin Kin Bakery</t>
        </is>
      </c>
      <c r="G39" s="13" t="inlineStr">
        <is>
          <t>4841 Yonge St, Toronto</t>
        </is>
      </c>
      <c r="H39" s="11" t="inlineStr">
        <is>
          <t>CAD</t>
        </is>
      </c>
      <c r="I39" s="14" t="n"/>
      <c r="J39" s="14" t="n"/>
      <c r="K39" s="14" t="n"/>
      <c r="L39" s="14" t="n"/>
      <c r="M39" s="14" t="n">
        <v>25.98</v>
      </c>
      <c r="N39" s="13" t="inlineStr">
        <is>
          <t>Mastercard</t>
        </is>
      </c>
      <c r="O39" s="11" t="inlineStr">
        <is>
          <t>N</t>
        </is>
      </c>
      <c r="P39" s="13" t="inlineStr">
        <is>
          <t>[중복] IMG_5549와 같은 거래의 카드전표 - 합계 제외</t>
        </is>
      </c>
      <c r="Q39" s="13" t="inlineStr">
        <is>
          <t>IMG_5548.HEIC</t>
        </is>
      </c>
    </row>
    <row r="40">
      <c r="A40" s="7" t="n">
        <v>35</v>
      </c>
      <c r="B40" s="8" t="n">
        <v>45933</v>
      </c>
      <c r="C40" s="7">
        <f>IF(B40="","미기재",TEXT(B40,"yyyy-mm"))</f>
        <v/>
      </c>
      <c r="D40" s="7" t="inlineStr">
        <is>
          <t>22:05</t>
        </is>
      </c>
      <c r="E40" s="9" t="inlineStr">
        <is>
          <t>ENZI Ice Cream</t>
        </is>
      </c>
      <c r="F40" s="9" t="inlineStr">
        <is>
          <t>ENZI Ice Cream</t>
        </is>
      </c>
      <c r="G40" s="9" t="inlineStr">
        <is>
          <t>5317 Yonge St, Toronto</t>
        </is>
      </c>
      <c r="H40" s="7" t="inlineStr">
        <is>
          <t>CAD</t>
        </is>
      </c>
      <c r="I40" s="10" t="n">
        <v>12.4</v>
      </c>
      <c r="J40" s="10" t="n">
        <v>1.61</v>
      </c>
      <c r="K40" s="10" t="n"/>
      <c r="L40" s="10" t="n"/>
      <c r="M40" s="10" t="n">
        <v>14.01</v>
      </c>
      <c r="N40" s="9" t="inlineStr">
        <is>
          <t>Mastercard</t>
        </is>
      </c>
      <c r="O40" s="7" t="inlineStr">
        <is>
          <t>Y</t>
        </is>
      </c>
      <c r="P40" s="9" t="n"/>
      <c r="Q40" s="9" t="inlineStr">
        <is>
          <t>IMG_5550.HEIC</t>
        </is>
      </c>
    </row>
    <row r="41">
      <c r="A41" s="7" t="n">
        <v>36</v>
      </c>
      <c r="B41" s="8" t="n">
        <v>45934</v>
      </c>
      <c r="C41" s="7">
        <f>IF(B41="","미기재",TEXT(B41,"yyyy-mm"))</f>
        <v/>
      </c>
      <c r="D41" s="7" t="n"/>
      <c r="E41" s="9" t="inlineStr">
        <is>
          <t>ByteDance (CapCut Pro 연간 구독)</t>
        </is>
      </c>
      <c r="F41" s="9" t="inlineStr">
        <is>
          <t>ByteDance (CapCut Pro 연간 구독)</t>
        </is>
      </c>
      <c r="G41" s="9" t="inlineStr">
        <is>
          <t>온라인</t>
        </is>
      </c>
      <c r="H41" s="7" t="inlineStr">
        <is>
          <t>CAD</t>
        </is>
      </c>
      <c r="I41" s="10" t="n">
        <v>199.99</v>
      </c>
      <c r="J41" s="10" t="n">
        <v>26</v>
      </c>
      <c r="K41" s="10" t="n"/>
      <c r="L41" s="10" t="n"/>
      <c r="M41" s="10" t="n">
        <v>225.99</v>
      </c>
      <c r="N41" s="9" t="n"/>
      <c r="O41" s="7" t="inlineStr">
        <is>
          <t>Y</t>
        </is>
      </c>
      <c r="P41" s="9" t="n"/>
      <c r="Q41" s="9" t="inlineStr">
        <is>
          <t>IMG_5621.HEIC</t>
        </is>
      </c>
    </row>
    <row r="42">
      <c r="A42" s="7" t="n">
        <v>37</v>
      </c>
      <c r="B42" s="8" t="n">
        <v>45934</v>
      </c>
      <c r="C42" s="7">
        <f>IF(B42="","미기재",TEXT(B42,"yyyy-mm"))</f>
        <v/>
      </c>
      <c r="D42" s="7" t="inlineStr">
        <is>
          <t>17:00</t>
        </is>
      </c>
      <c r="E42" s="9" t="inlineStr">
        <is>
          <t>Cafe Kray</t>
        </is>
      </c>
      <c r="F42" s="9" t="inlineStr">
        <is>
          <t>Cafe Kray</t>
        </is>
      </c>
      <c r="G42" s="9" t="inlineStr">
        <is>
          <t>4850 Yonge St, North York</t>
        </is>
      </c>
      <c r="H42" s="7" t="inlineStr">
        <is>
          <t>CAD</t>
        </is>
      </c>
      <c r="I42" s="10" t="n">
        <v>13.95</v>
      </c>
      <c r="J42" s="10" t="n">
        <v>1.81</v>
      </c>
      <c r="K42" s="10" t="n"/>
      <c r="L42" s="10" t="n"/>
      <c r="M42" s="10" t="n">
        <v>15.76</v>
      </c>
      <c r="N42" s="9" t="inlineStr">
        <is>
          <t>Visa</t>
        </is>
      </c>
      <c r="O42" s="7" t="inlineStr">
        <is>
          <t>Y</t>
        </is>
      </c>
      <c r="P42" s="9" t="inlineStr">
        <is>
          <t>10% 할인 -1.55 적용</t>
        </is>
      </c>
      <c r="Q42" s="9" t="inlineStr">
        <is>
          <t>IMG_5551.HEIC</t>
        </is>
      </c>
    </row>
    <row r="43">
      <c r="A43" s="7" t="n">
        <v>38</v>
      </c>
      <c r="B43" s="8" t="n">
        <v>45936</v>
      </c>
      <c r="C43" s="7">
        <f>IF(B43="","미기재",TEXT(B43,"yyyy-mm"))</f>
        <v/>
      </c>
      <c r="D43" s="7" t="inlineStr">
        <is>
          <t>12:43</t>
        </is>
      </c>
      <c r="E43" s="9" t="inlineStr">
        <is>
          <t>Costco Gas (#1655)</t>
        </is>
      </c>
      <c r="F43" s="9" t="inlineStr">
        <is>
          <t>Costco 주유소</t>
        </is>
      </c>
      <c r="G43" s="9" t="inlineStr">
        <is>
          <t>2260 Islington Ave, Etobicoke</t>
        </is>
      </c>
      <c r="H43" s="7" t="inlineStr">
        <is>
          <t>CAD</t>
        </is>
      </c>
      <c r="I43" s="10" t="n">
        <v>41.42</v>
      </c>
      <c r="J43" s="10" t="n">
        <v>5.38</v>
      </c>
      <c r="K43" s="10" t="n"/>
      <c r="L43" s="10" t="n"/>
      <c r="M43" s="10" t="n">
        <v>46.8</v>
      </c>
      <c r="N43" s="9" t="inlineStr">
        <is>
          <t>Mastercard</t>
        </is>
      </c>
      <c r="O43" s="7" t="inlineStr">
        <is>
          <t>Y</t>
        </is>
      </c>
      <c r="P43" s="9" t="inlineStr">
        <is>
          <t>주유 39.031L (HST 포함가)</t>
        </is>
      </c>
      <c r="Q43" s="9" t="inlineStr">
        <is>
          <t>IMG_5488.HEIC</t>
        </is>
      </c>
    </row>
    <row r="44">
      <c r="A44" s="7" t="n">
        <v>39</v>
      </c>
      <c r="B44" s="8" t="n">
        <v>45940</v>
      </c>
      <c r="C44" s="7">
        <f>IF(B44="","미기재",TEXT(B44,"yyyy-mm"))</f>
        <v/>
      </c>
      <c r="D44" s="7" t="inlineStr">
        <is>
          <t>13:42</t>
        </is>
      </c>
      <c r="E44" s="9" t="inlineStr">
        <is>
          <t>Uncle Tetsu (Yonge &amp; Sheppard)</t>
        </is>
      </c>
      <c r="F44" s="9" t="inlineStr">
        <is>
          <t>Uncle Tetsu</t>
        </is>
      </c>
      <c r="G44" s="9" t="inlineStr">
        <is>
          <t>4909 Yonge St, Toronto</t>
        </is>
      </c>
      <c r="H44" s="7" t="inlineStr">
        <is>
          <t>CAD</t>
        </is>
      </c>
      <c r="I44" s="10" t="n">
        <v>14.75</v>
      </c>
      <c r="J44" s="10" t="n">
        <v>0</v>
      </c>
      <c r="K44" s="10" t="n"/>
      <c r="L44" s="10" t="n"/>
      <c r="M44" s="10" t="n">
        <v>14.75</v>
      </c>
      <c r="N44" s="9" t="inlineStr">
        <is>
          <t>Mastercard</t>
        </is>
      </c>
      <c r="O44" s="7" t="inlineStr">
        <is>
          <t>Y</t>
        </is>
      </c>
      <c r="P44" s="9" t="inlineStr">
        <is>
          <t>영수증+카드전표 한 장에 촬영</t>
        </is>
      </c>
      <c r="Q44" s="9" t="inlineStr">
        <is>
          <t>IMG_5589.HEIC</t>
        </is>
      </c>
    </row>
    <row r="45">
      <c r="A45" s="7" t="n">
        <v>40</v>
      </c>
      <c r="B45" s="8" t="n">
        <v>45941</v>
      </c>
      <c r="C45" s="7">
        <f>IF(B45="","미기재",TEXT(B45,"yyyy-mm"))</f>
        <v/>
      </c>
      <c r="D45" s="7" t="inlineStr">
        <is>
          <t>11:48</t>
        </is>
      </c>
      <c r="E45" s="9" t="inlineStr">
        <is>
          <t>H Mart</t>
        </is>
      </c>
      <c r="F45" s="9" t="inlineStr">
        <is>
          <t>H Mart</t>
        </is>
      </c>
      <c r="G45" s="9" t="inlineStr">
        <is>
          <t>4885 Yonge St, North York</t>
        </is>
      </c>
      <c r="H45" s="7" t="inlineStr">
        <is>
          <t>CAD</t>
        </is>
      </c>
      <c r="I45" s="10" t="n">
        <v>85.22</v>
      </c>
      <c r="J45" s="10" t="n">
        <v>11.07</v>
      </c>
      <c r="K45" s="10" t="n"/>
      <c r="L45" s="10" t="n"/>
      <c r="M45" s="10" t="n">
        <v>96.29000000000001</v>
      </c>
      <c r="N45" s="9" t="inlineStr">
        <is>
          <t>Mastercard</t>
        </is>
      </c>
      <c r="O45" s="7" t="inlineStr">
        <is>
          <t>Y</t>
        </is>
      </c>
      <c r="P45" s="9" t="inlineStr">
        <is>
          <t>치킨 메뉴(할인 적용)</t>
        </is>
      </c>
      <c r="Q45" s="9" t="inlineStr">
        <is>
          <t>IMG_5545.HEIC</t>
        </is>
      </c>
    </row>
    <row r="46">
      <c r="A46" s="7" t="n">
        <v>41</v>
      </c>
      <c r="B46" s="8" t="n">
        <v>45941</v>
      </c>
      <c r="C46" s="7">
        <f>IF(B46="","미기재",TEXT(B46,"yyyy-mm"))</f>
        <v/>
      </c>
      <c r="D46" s="7" t="inlineStr">
        <is>
          <t>11:55</t>
        </is>
      </c>
      <c r="E46" s="9" t="inlineStr">
        <is>
          <t>Kin Kin Bakery</t>
        </is>
      </c>
      <c r="F46" s="9" t="inlineStr">
        <is>
          <t>Kin Kin Bakery</t>
        </is>
      </c>
      <c r="G46" s="9" t="inlineStr">
        <is>
          <t>4841 Yonge St, Toronto</t>
        </is>
      </c>
      <c r="H46" s="7" t="inlineStr">
        <is>
          <t>CAD</t>
        </is>
      </c>
      <c r="I46" s="10" t="n"/>
      <c r="J46" s="10" t="n"/>
      <c r="K46" s="10" t="n"/>
      <c r="L46" s="10" t="n"/>
      <c r="M46" s="10" t="n">
        <v>18.99</v>
      </c>
      <c r="N46" s="9" t="inlineStr">
        <is>
          <t>Mastercard</t>
        </is>
      </c>
      <c r="O46" s="7" t="inlineStr">
        <is>
          <t>Y</t>
        </is>
      </c>
      <c r="P46" s="9" t="inlineStr">
        <is>
          <t>카드전표만(세금 내역 없음)</t>
        </is>
      </c>
      <c r="Q46" s="9" t="inlineStr">
        <is>
          <t>IMG_5547.HEIC</t>
        </is>
      </c>
    </row>
    <row r="47">
      <c r="A47" s="7" t="n">
        <v>42</v>
      </c>
      <c r="B47" s="8" t="n">
        <v>45953</v>
      </c>
      <c r="C47" s="7">
        <f>IF(B47="","미기재",TEXT(B47,"yyyy-mm"))</f>
        <v/>
      </c>
      <c r="D47" s="7" t="inlineStr">
        <is>
          <t>19:18</t>
        </is>
      </c>
      <c r="E47" s="9" t="inlineStr">
        <is>
          <t>Staples (Richmond Hill)</t>
        </is>
      </c>
      <c r="F47" s="9" t="inlineStr">
        <is>
          <t>Staples</t>
        </is>
      </c>
      <c r="G47" s="9" t="inlineStr">
        <is>
          <t>45 Red Maple Rd, Richmond Hill</t>
        </is>
      </c>
      <c r="H47" s="7" t="inlineStr">
        <is>
          <t>CAD</t>
        </is>
      </c>
      <c r="I47" s="10" t="n">
        <v>1.18</v>
      </c>
      <c r="J47" s="10" t="n">
        <v>0.15</v>
      </c>
      <c r="K47" s="10" t="n"/>
      <c r="L47" s="10" t="n"/>
      <c r="M47" s="10" t="n">
        <v>1.33</v>
      </c>
      <c r="N47" s="9" t="inlineStr">
        <is>
          <t>Mastercard</t>
        </is>
      </c>
      <c r="O47" s="7" t="inlineStr">
        <is>
          <t>Y</t>
        </is>
      </c>
      <c r="P47" s="9" t="inlineStr">
        <is>
          <t>컬러 출력</t>
        </is>
      </c>
      <c r="Q47" s="9" t="inlineStr">
        <is>
          <t>IMG_5495.HEIC</t>
        </is>
      </c>
    </row>
    <row r="48">
      <c r="A48" s="7" t="n">
        <v>43</v>
      </c>
      <c r="B48" s="8" t="n">
        <v>45957</v>
      </c>
      <c r="C48" s="7">
        <f>IF(B48="","미기재",TEXT(B48,"yyyy-mm"))</f>
        <v/>
      </c>
      <c r="D48" s="7" t="n"/>
      <c r="E48" s="9" t="inlineStr">
        <is>
          <t>YSH CPA Professional Corporation</t>
        </is>
      </c>
      <c r="F48" s="9" t="inlineStr">
        <is>
          <t>YSH CPA Professional Corporation</t>
        </is>
      </c>
      <c r="G48" s="9" t="inlineStr">
        <is>
          <t>904-7191 Yonge St, Thornhill</t>
        </is>
      </c>
      <c r="H48" s="7" t="inlineStr">
        <is>
          <t>CAD</t>
        </is>
      </c>
      <c r="I48" s="10" t="n">
        <v>1800</v>
      </c>
      <c r="J48" s="10" t="n">
        <v>234</v>
      </c>
      <c r="K48" s="10" t="n"/>
      <c r="L48" s="10" t="n"/>
      <c r="M48" s="10" t="n">
        <v>2034</v>
      </c>
      <c r="N48" s="9" t="n"/>
      <c r="O48" s="7" t="inlineStr">
        <is>
          <t>Y</t>
        </is>
      </c>
      <c r="P48" s="9" t="inlineStr">
        <is>
          <t>인보이스 - 법인세(T2) 신고 대행 2025 / Bill to: Kay Pak Real Estate Corporation</t>
        </is>
      </c>
      <c r="Q48" s="9" t="inlineStr">
        <is>
          <t>IMG_5625.HEIC</t>
        </is>
      </c>
    </row>
    <row r="49">
      <c r="A49" s="7" t="n">
        <v>44</v>
      </c>
      <c r="B49" s="8" t="n">
        <v>45959</v>
      </c>
      <c r="C49" s="7">
        <f>IF(B49="","미기재",TEXT(B49,"yyyy-mm"))</f>
        <v/>
      </c>
      <c r="D49" s="7" t="inlineStr">
        <is>
          <t>10:09</t>
        </is>
      </c>
      <c r="E49" s="9" t="inlineStr">
        <is>
          <t>Hollister</t>
        </is>
      </c>
      <c r="F49" s="9" t="inlineStr">
        <is>
          <t>Hollister</t>
        </is>
      </c>
      <c r="G49" s="9" t="inlineStr">
        <is>
          <t>220 Yonge St (Eaton Centre), Toronto</t>
        </is>
      </c>
      <c r="H49" s="7" t="inlineStr">
        <is>
          <t>CAD</t>
        </is>
      </c>
      <c r="I49" s="10" t="n">
        <v>-37.46</v>
      </c>
      <c r="J49" s="10" t="n">
        <v>-4.87</v>
      </c>
      <c r="K49" s="10" t="n"/>
      <c r="L49" s="10" t="n"/>
      <c r="M49" s="10" t="n">
        <v>-42.33</v>
      </c>
      <c r="N49" s="9" t="inlineStr">
        <is>
          <t>Visa</t>
        </is>
      </c>
      <c r="O49" s="7" t="inlineStr">
        <is>
          <t>Y</t>
        </is>
      </c>
      <c r="P49" s="9" t="inlineStr">
        <is>
          <t>환불(REFUND) - 스웨트셔츠</t>
        </is>
      </c>
      <c r="Q49" s="9" t="inlineStr">
        <is>
          <t>IMG_5459.HEIC</t>
        </is>
      </c>
    </row>
    <row r="50">
      <c r="A50" s="7" t="n">
        <v>45</v>
      </c>
      <c r="B50" s="8" t="n">
        <v>45960</v>
      </c>
      <c r="C50" s="7">
        <f>IF(B50="","미기재",TEXT(B50,"yyyy-mm"))</f>
        <v/>
      </c>
      <c r="D50" s="7" t="inlineStr">
        <is>
          <t>12:59</t>
        </is>
      </c>
      <c r="E50" s="9" t="inlineStr">
        <is>
          <t>Bourbon St. Grill (Yonge Sheppard Centre)</t>
        </is>
      </c>
      <c r="F50" s="9" t="inlineStr">
        <is>
          <t>Bourbon St. Grill</t>
        </is>
      </c>
      <c r="G50" s="9" t="inlineStr">
        <is>
          <t>4841 Yonge St, Toronto</t>
        </is>
      </c>
      <c r="H50" s="7" t="inlineStr">
        <is>
          <t>CAD</t>
        </is>
      </c>
      <c r="I50" s="10" t="n">
        <v>26.52</v>
      </c>
      <c r="J50" s="10" t="n">
        <v>3.45</v>
      </c>
      <c r="K50" s="10" t="n"/>
      <c r="L50" s="10" t="n"/>
      <c r="M50" s="10" t="n">
        <v>29.97</v>
      </c>
      <c r="N50" s="9" t="inlineStr">
        <is>
          <t>Mastercard</t>
        </is>
      </c>
      <c r="O50" s="7" t="inlineStr">
        <is>
          <t>Y</t>
        </is>
      </c>
      <c r="P50" s="9" t="inlineStr">
        <is>
          <t>소계 29.47에서 10% 할인 -2.95 적용</t>
        </is>
      </c>
      <c r="Q50" s="9" t="inlineStr">
        <is>
          <t>IMG_5506.HEIC</t>
        </is>
      </c>
    </row>
    <row r="51">
      <c r="A51" s="11" t="n">
        <v>46</v>
      </c>
      <c r="B51" s="12" t="n">
        <v>45960</v>
      </c>
      <c r="C51" s="11">
        <f>IF(B51="","미기재",TEXT(B51,"yyyy-mm"))</f>
        <v/>
      </c>
      <c r="D51" s="11" t="inlineStr">
        <is>
          <t>12:59</t>
        </is>
      </c>
      <c r="E51" s="13" t="inlineStr">
        <is>
          <t>Bourbon St. Grill (Yonge Sheppard Centre)</t>
        </is>
      </c>
      <c r="F51" s="13" t="inlineStr">
        <is>
          <t>Bourbon St. Grill</t>
        </is>
      </c>
      <c r="G51" s="13" t="inlineStr">
        <is>
          <t>4841 Yonge St, Toronto</t>
        </is>
      </c>
      <c r="H51" s="11" t="inlineStr">
        <is>
          <t>CAD</t>
        </is>
      </c>
      <c r="I51" s="14" t="n"/>
      <c r="J51" s="14" t="n"/>
      <c r="K51" s="14" t="n"/>
      <c r="L51" s="14" t="n"/>
      <c r="M51" s="14" t="n">
        <v>29.97</v>
      </c>
      <c r="N51" s="13" t="inlineStr">
        <is>
          <t>Mastercard</t>
        </is>
      </c>
      <c r="O51" s="11" t="inlineStr">
        <is>
          <t>N</t>
        </is>
      </c>
      <c r="P51" s="13" t="inlineStr">
        <is>
          <t>[중복] IMG_5506과 같은 거래의 카드전표 - 합계 제외</t>
        </is>
      </c>
      <c r="Q51" s="13" t="inlineStr">
        <is>
          <t>IMG_5508.HEIC</t>
        </is>
      </c>
    </row>
    <row r="52">
      <c r="A52" s="7" t="n">
        <v>47</v>
      </c>
      <c r="B52" s="8" t="n">
        <v>45965</v>
      </c>
      <c r="C52" s="7">
        <f>IF(B52="","미기재",TEXT(B52,"yyyy-mm"))</f>
        <v/>
      </c>
      <c r="D52" s="7" t="inlineStr">
        <is>
          <t>16:57</t>
        </is>
      </c>
      <c r="E52" s="9" t="inlineStr">
        <is>
          <t>Kajiken</t>
        </is>
      </c>
      <c r="F52" s="9" t="inlineStr">
        <is>
          <t>Kajiken</t>
        </is>
      </c>
      <c r="G52" s="9" t="inlineStr">
        <is>
          <t>4850 Yonge St, North York</t>
        </is>
      </c>
      <c r="H52" s="7" t="inlineStr">
        <is>
          <t>CAD</t>
        </is>
      </c>
      <c r="I52" s="10" t="n">
        <v>51.97</v>
      </c>
      <c r="J52" s="10" t="n">
        <v>6.76</v>
      </c>
      <c r="K52" s="10" t="n"/>
      <c r="L52" s="10" t="n"/>
      <c r="M52" s="10" t="n">
        <v>58.73</v>
      </c>
      <c r="N52" s="9" t="n"/>
      <c r="O52" s="7" t="inlineStr">
        <is>
          <t>Y</t>
        </is>
      </c>
      <c r="P52" s="9" t="inlineStr">
        <is>
          <t>온라인 주문</t>
        </is>
      </c>
      <c r="Q52" s="9" t="inlineStr">
        <is>
          <t>IMG_5504.HEIC</t>
        </is>
      </c>
    </row>
    <row r="53">
      <c r="A53" s="7" t="n">
        <v>48</v>
      </c>
      <c r="B53" s="8" t="n">
        <v>45967</v>
      </c>
      <c r="C53" s="7">
        <f>IF(B53="","미기재",TEXT(B53,"yyyy-mm"))</f>
        <v/>
      </c>
      <c r="D53" s="7" t="inlineStr">
        <is>
          <t>12:20</t>
        </is>
      </c>
      <c r="E53" s="9" t="inlineStr">
        <is>
          <t>Kin Kin Bakery</t>
        </is>
      </c>
      <c r="F53" s="9" t="inlineStr">
        <is>
          <t>Kin Kin Bakery</t>
        </is>
      </c>
      <c r="G53" s="9" t="inlineStr">
        <is>
          <t>4841 Yonge St, Toronto</t>
        </is>
      </c>
      <c r="H53" s="7" t="inlineStr">
        <is>
          <t>CAD</t>
        </is>
      </c>
      <c r="I53" s="10" t="n"/>
      <c r="J53" s="10" t="n"/>
      <c r="K53" s="10" t="n"/>
      <c r="L53" s="10" t="n"/>
      <c r="M53" s="10" t="n">
        <v>12.99</v>
      </c>
      <c r="N53" s="9" t="inlineStr">
        <is>
          <t>Mastercard</t>
        </is>
      </c>
      <c r="O53" s="7" t="inlineStr">
        <is>
          <t>Y</t>
        </is>
      </c>
      <c r="P53" s="9" t="inlineStr">
        <is>
          <t>카드전표만(세금 내역 없음)</t>
        </is>
      </c>
      <c r="Q53" s="9" t="inlineStr">
        <is>
          <t>IMG_5507.HEIC</t>
        </is>
      </c>
    </row>
    <row r="54">
      <c r="A54" s="7" t="n">
        <v>49</v>
      </c>
      <c r="B54" s="8" t="n">
        <v>45967</v>
      </c>
      <c r="C54" s="7">
        <f>IF(B54="","미기재",TEXT(B54,"yyyy-mm"))</f>
        <v/>
      </c>
      <c r="D54" s="7" t="inlineStr">
        <is>
          <t>12:31</t>
        </is>
      </c>
      <c r="E54" s="9" t="inlineStr">
        <is>
          <t>Spring Garden Convenience</t>
        </is>
      </c>
      <c r="F54" s="9" t="inlineStr">
        <is>
          <t>Spring Garden Convenience</t>
        </is>
      </c>
      <c r="G54" s="9" t="inlineStr">
        <is>
          <t>57 Spring Garden Ave, Toronto</t>
        </is>
      </c>
      <c r="H54" s="7" t="inlineStr">
        <is>
          <t>CAD</t>
        </is>
      </c>
      <c r="I54" s="10" t="n"/>
      <c r="J54" s="10" t="n"/>
      <c r="K54" s="10" t="n"/>
      <c r="L54" s="10" t="n"/>
      <c r="M54" s="10" t="n">
        <v>45.2</v>
      </c>
      <c r="N54" s="9" t="inlineStr">
        <is>
          <t>Interac</t>
        </is>
      </c>
      <c r="O54" s="7" t="inlineStr">
        <is>
          <t>Y</t>
        </is>
      </c>
      <c r="P54" s="9" t="inlineStr">
        <is>
          <t>카드전표만(세금 내역 없음)</t>
        </is>
      </c>
      <c r="Q54" s="9" t="inlineStr">
        <is>
          <t>IMG_5509.HEIC</t>
        </is>
      </c>
    </row>
    <row r="55">
      <c r="A55" s="7" t="n">
        <v>50</v>
      </c>
      <c r="B55" s="8" t="n">
        <v>45968</v>
      </c>
      <c r="C55" s="7">
        <f>IF(B55="","미기재",TEXT(B55,"yyyy-mm"))</f>
        <v/>
      </c>
      <c r="D55" s="7" t="inlineStr">
        <is>
          <t>15:45</t>
        </is>
      </c>
      <c r="E55" s="9" t="inlineStr">
        <is>
          <t>Costco Gas (#1655)</t>
        </is>
      </c>
      <c r="F55" s="9" t="inlineStr">
        <is>
          <t>Costco 주유소</t>
        </is>
      </c>
      <c r="G55" s="9" t="inlineStr">
        <is>
          <t>2260 Islington Ave, Etobicoke</t>
        </is>
      </c>
      <c r="H55" s="7" t="inlineStr">
        <is>
          <t>CAD</t>
        </is>
      </c>
      <c r="I55" s="10" t="n">
        <v>53.7</v>
      </c>
      <c r="J55" s="10" t="n">
        <v>6.98</v>
      </c>
      <c r="K55" s="10" t="n"/>
      <c r="L55" s="10" t="n"/>
      <c r="M55" s="10" t="n">
        <v>60.68</v>
      </c>
      <c r="N55" s="9" t="inlineStr">
        <is>
          <t>Mastercard</t>
        </is>
      </c>
      <c r="O55" s="7" t="inlineStr">
        <is>
          <t>Y</t>
        </is>
      </c>
      <c r="P55" s="9" t="inlineStr">
        <is>
          <t>주유 47.815L (HST 포함가)</t>
        </is>
      </c>
      <c r="Q55" s="9" t="inlineStr">
        <is>
          <t>IMG_5423.HEIC</t>
        </is>
      </c>
    </row>
    <row r="56">
      <c r="A56" s="7" t="n">
        <v>51</v>
      </c>
      <c r="B56" s="8" t="n">
        <v>45977</v>
      </c>
      <c r="C56" s="7">
        <f>IF(B56="","미기재",TEXT(B56,"yyyy-mm"))</f>
        <v/>
      </c>
      <c r="D56" s="7" t="inlineStr">
        <is>
          <t>13:32</t>
        </is>
      </c>
      <c r="E56" s="9" t="inlineStr">
        <is>
          <t>Uniqlo (Yorkdale)</t>
        </is>
      </c>
      <c r="F56" s="9" t="inlineStr">
        <is>
          <t>Uniqlo (Yorkdale)</t>
        </is>
      </c>
      <c r="G56" s="9" t="inlineStr">
        <is>
          <t>3401 Dufferin St, North York</t>
        </is>
      </c>
      <c r="H56" s="7" t="inlineStr">
        <is>
          <t>CAD</t>
        </is>
      </c>
      <c r="I56" s="10" t="n">
        <v>149.8</v>
      </c>
      <c r="J56" s="10" t="n">
        <v>19.47</v>
      </c>
      <c r="K56" s="10" t="n"/>
      <c r="L56" s="10" t="n"/>
      <c r="M56" s="10" t="n">
        <v>169.27</v>
      </c>
      <c r="N56" s="9" t="inlineStr">
        <is>
          <t>Mastercard</t>
        </is>
      </c>
      <c r="O56" s="7" t="inlineStr">
        <is>
          <t>Y</t>
        </is>
      </c>
      <c r="P56" s="9" t="inlineStr">
        <is>
          <t>소계 159.80에서 생일쿠폰 -10.00 적용</t>
        </is>
      </c>
      <c r="Q56" s="9" t="inlineStr">
        <is>
          <t>IMG_5502.HEIC</t>
        </is>
      </c>
    </row>
    <row r="57">
      <c r="A57" s="7" t="n">
        <v>52</v>
      </c>
      <c r="B57" s="8" t="n">
        <v>45982</v>
      </c>
      <c r="C57" s="7">
        <f>IF(B57="","미기재",TEXT(B57,"yyyy-mm"))</f>
        <v/>
      </c>
      <c r="D57" s="7" t="inlineStr">
        <is>
          <t>14:07</t>
        </is>
      </c>
      <c r="E57" s="9" t="inlineStr">
        <is>
          <t>Kamen Ramen</t>
        </is>
      </c>
      <c r="F57" s="9" t="inlineStr">
        <is>
          <t>Kamen Ramen</t>
        </is>
      </c>
      <c r="G57" s="9" t="inlineStr">
        <is>
          <t>720 Burnhamthorpe Rd W, Mississauga</t>
        </is>
      </c>
      <c r="H57" s="7" t="inlineStr">
        <is>
          <t>CAD</t>
        </is>
      </c>
      <c r="I57" s="10" t="n">
        <v>39.9</v>
      </c>
      <c r="J57" s="10" t="n">
        <v>5.19</v>
      </c>
      <c r="K57" s="10" t="n"/>
      <c r="L57" s="10" t="n">
        <v>6</v>
      </c>
      <c r="M57" s="10" t="n">
        <v>51.09</v>
      </c>
      <c r="N57" s="9" t="inlineStr">
        <is>
          <t>Mastercard</t>
        </is>
      </c>
      <c r="O57" s="7" t="inlineStr">
        <is>
          <t>Y</t>
        </is>
      </c>
      <c r="P57" s="9" t="inlineStr">
        <is>
          <t>영수증+카드전표 한 장에 촬영</t>
        </is>
      </c>
      <c r="Q57" s="9" t="inlineStr">
        <is>
          <t>IMG_5510.HEIC</t>
        </is>
      </c>
    </row>
    <row r="58">
      <c r="A58" s="7" t="n">
        <v>53</v>
      </c>
      <c r="B58" s="8" t="n">
        <v>45984</v>
      </c>
      <c r="C58" s="7">
        <f>IF(B58="","미기재",TEXT(B58,"yyyy-mm"))</f>
        <v/>
      </c>
      <c r="D58" s="7" t="inlineStr">
        <is>
          <t>15:15</t>
        </is>
      </c>
      <c r="E58" s="9" t="inlineStr">
        <is>
          <t>Kin Kin Bakery</t>
        </is>
      </c>
      <c r="F58" s="9" t="inlineStr">
        <is>
          <t>Kin Kin Bakery</t>
        </is>
      </c>
      <c r="G58" s="9" t="inlineStr">
        <is>
          <t>4841 Yonge St, Toronto</t>
        </is>
      </c>
      <c r="H58" s="7" t="inlineStr">
        <is>
          <t>CAD</t>
        </is>
      </c>
      <c r="I58" s="10" t="n"/>
      <c r="J58" s="10" t="n"/>
      <c r="K58" s="10" t="n"/>
      <c r="L58" s="10" t="n"/>
      <c r="M58" s="10" t="n">
        <v>18.99</v>
      </c>
      <c r="N58" s="9" t="inlineStr">
        <is>
          <t>Mastercard</t>
        </is>
      </c>
      <c r="O58" s="7" t="inlineStr">
        <is>
          <t>Y</t>
        </is>
      </c>
      <c r="P58" s="9" t="inlineStr">
        <is>
          <t>카드전표만(세금 내역 없음)</t>
        </is>
      </c>
      <c r="Q58" s="9" t="inlineStr">
        <is>
          <t>IMG_5513.HEIC</t>
        </is>
      </c>
    </row>
    <row r="59">
      <c r="A59" s="7" t="n">
        <v>54</v>
      </c>
      <c r="B59" s="8" t="n">
        <v>45984</v>
      </c>
      <c r="C59" s="7">
        <f>IF(B59="","미기재",TEXT(B59,"yyyy-mm"))</f>
        <v/>
      </c>
      <c r="D59" s="7" t="inlineStr">
        <is>
          <t>16:20</t>
        </is>
      </c>
      <c r="E59" s="9" t="inlineStr">
        <is>
          <t>Costco (#1655)</t>
        </is>
      </c>
      <c r="F59" s="9" t="inlineStr">
        <is>
          <t>Costco 매장</t>
        </is>
      </c>
      <c r="G59" s="9" t="inlineStr">
        <is>
          <t>2260 Islington Ave, Etobicoke</t>
        </is>
      </c>
      <c r="H59" s="7" t="inlineStr">
        <is>
          <t>CAD</t>
        </is>
      </c>
      <c r="I59" s="10" t="n">
        <v>53.97</v>
      </c>
      <c r="J59" s="10" t="n">
        <v>4.42</v>
      </c>
      <c r="K59" s="10" t="n"/>
      <c r="L59" s="10" t="n"/>
      <c r="M59" s="10" t="n">
        <v>58.39</v>
      </c>
      <c r="N59" s="9" t="inlineStr">
        <is>
          <t>Mastercard</t>
        </is>
      </c>
      <c r="O59" s="7" t="inlineStr">
        <is>
          <t>Y</t>
        </is>
      </c>
      <c r="P59" s="9" t="inlineStr">
        <is>
          <t>할인 12.00 적용</t>
        </is>
      </c>
      <c r="Q59" s="9" t="inlineStr">
        <is>
          <t>IMG_5514.HEIC</t>
        </is>
      </c>
    </row>
    <row r="60">
      <c r="A60" s="11" t="n">
        <v>55</v>
      </c>
      <c r="B60" s="12" t="n">
        <v>45985</v>
      </c>
      <c r="C60" s="11">
        <f>IF(B60="","미기재",TEXT(B60,"yyyy-mm"))</f>
        <v/>
      </c>
      <c r="D60" s="11" t="n"/>
      <c r="E60" s="13" t="inlineStr">
        <is>
          <t>Costco.ca 온라인 주문</t>
        </is>
      </c>
      <c r="F60" s="13" t="inlineStr">
        <is>
          <t>Costco.ca (온라인)</t>
        </is>
      </c>
      <c r="G60" s="13" t="inlineStr">
        <is>
          <t>온라인 (Order #1241227324)</t>
        </is>
      </c>
      <c r="H60" s="11" t="inlineStr">
        <is>
          <t>CAD</t>
        </is>
      </c>
      <c r="I60" s="14" t="n"/>
      <c r="J60" s="14" t="n"/>
      <c r="K60" s="14" t="n"/>
      <c r="L60" s="14" t="n"/>
      <c r="M60" s="14" t="n">
        <v>0</v>
      </c>
      <c r="N60" s="13" t="inlineStr">
        <is>
          <t>Mastercard</t>
        </is>
      </c>
      <c r="O60" s="11" t="inlineStr">
        <is>
          <t>N</t>
        </is>
      </c>
      <c r="P60" s="13" t="inlineStr">
        <is>
          <t>[중복] IMG_5629와 같은 주문의 1페이지(품목) - 합계 제외</t>
        </is>
      </c>
      <c r="Q60" s="13" t="inlineStr">
        <is>
          <t>IMG_5628.HEIC</t>
        </is>
      </c>
    </row>
    <row r="61">
      <c r="A61" s="7" t="n">
        <v>56</v>
      </c>
      <c r="B61" s="8" t="n">
        <v>45985</v>
      </c>
      <c r="C61" s="7">
        <f>IF(B61="","미기재",TEXT(B61,"yyyy-mm"))</f>
        <v/>
      </c>
      <c r="D61" s="7" t="n"/>
      <c r="E61" s="9" t="inlineStr">
        <is>
          <t>Costco.ca 온라인 주문</t>
        </is>
      </c>
      <c r="F61" s="9" t="inlineStr">
        <is>
          <t>Costco.ca (온라인)</t>
        </is>
      </c>
      <c r="G61" s="9" t="inlineStr">
        <is>
          <t>온라인 (Order #1241227324)</t>
        </is>
      </c>
      <c r="H61" s="7" t="inlineStr">
        <is>
          <t>CAD</t>
        </is>
      </c>
      <c r="I61" s="10" t="n">
        <v>1764.89</v>
      </c>
      <c r="J61" s="10" t="n">
        <v>229.44</v>
      </c>
      <c r="K61" s="10" t="n"/>
      <c r="L61" s="10" t="n"/>
      <c r="M61" s="10" t="n">
        <v>1994.33</v>
      </c>
      <c r="N61" s="9" t="inlineStr">
        <is>
          <t>Mastercard</t>
        </is>
      </c>
      <c r="O61" s="7" t="inlineStr">
        <is>
          <t>Y</t>
        </is>
      </c>
      <c r="P61" s="9" t="inlineStr">
        <is>
          <t>LG 세탁기/건조기 등 3품목, 소계 1964.89에서 할인 -200 / 1페이지는 IMG_5628</t>
        </is>
      </c>
      <c r="Q61" s="9" t="inlineStr">
        <is>
          <t>IMG_5629.HEIC</t>
        </is>
      </c>
    </row>
    <row r="62">
      <c r="A62" s="11" t="n">
        <v>57</v>
      </c>
      <c r="B62" s="12" t="n">
        <v>45985</v>
      </c>
      <c r="C62" s="11">
        <f>IF(B62="","미기재",TEXT(B62,"yyyy-mm"))</f>
        <v/>
      </c>
      <c r="D62" s="11" t="n"/>
      <c r="E62" s="13" t="inlineStr">
        <is>
          <t>Costco.ca 온라인 주문</t>
        </is>
      </c>
      <c r="F62" s="13" t="inlineStr">
        <is>
          <t>Costco.ca (온라인)</t>
        </is>
      </c>
      <c r="G62" s="13" t="inlineStr">
        <is>
          <t>온라인 (Order #1241154412)</t>
        </is>
      </c>
      <c r="H62" s="11" t="inlineStr">
        <is>
          <t>CAD</t>
        </is>
      </c>
      <c r="I62" s="14" t="n"/>
      <c r="J62" s="14" t="n"/>
      <c r="K62" s="14" t="n"/>
      <c r="L62" s="14" t="n"/>
      <c r="M62" s="14" t="n">
        <v>0</v>
      </c>
      <c r="N62" s="13" t="inlineStr">
        <is>
          <t>Mastercard</t>
        </is>
      </c>
      <c r="O62" s="11" t="inlineStr">
        <is>
          <t>N</t>
        </is>
      </c>
      <c r="P62" s="13" t="inlineStr">
        <is>
          <t>[중복] IMG_5631과 같은 주문의 1페이지(품목) - 합계 제외</t>
        </is>
      </c>
      <c r="Q62" s="13" t="inlineStr">
        <is>
          <t>IMG_5630.HEIC</t>
        </is>
      </c>
    </row>
    <row r="63">
      <c r="A63" s="7" t="n">
        <v>58</v>
      </c>
      <c r="B63" s="8" t="n">
        <v>45985</v>
      </c>
      <c r="C63" s="7">
        <f>IF(B63="","미기재",TEXT(B63,"yyyy-mm"))</f>
        <v/>
      </c>
      <c r="D63" s="7" t="n"/>
      <c r="E63" s="9" t="inlineStr">
        <is>
          <t>Costco.ca 온라인 주문</t>
        </is>
      </c>
      <c r="F63" s="9" t="inlineStr">
        <is>
          <t>Costco.ca (온라인)</t>
        </is>
      </c>
      <c r="G63" s="9" t="inlineStr">
        <is>
          <t>온라인 (Order #1241154412)</t>
        </is>
      </c>
      <c r="H63" s="7" t="inlineStr">
        <is>
          <t>CAD</t>
        </is>
      </c>
      <c r="I63" s="10" t="n">
        <v>79.98</v>
      </c>
      <c r="J63" s="10" t="n">
        <v>10.4</v>
      </c>
      <c r="K63" s="10" t="n"/>
      <c r="L63" s="10" t="n"/>
      <c r="M63" s="10" t="n">
        <v>90.38</v>
      </c>
      <c r="N63" s="9" t="inlineStr">
        <is>
          <t>Mastercard</t>
        </is>
      </c>
      <c r="O63" s="7" t="inlineStr">
        <is>
          <t>Y</t>
        </is>
      </c>
      <c r="P63" s="9" t="inlineStr">
        <is>
          <t>천장 조명 2개 / 1페이지는 IMG_5630</t>
        </is>
      </c>
      <c r="Q63" s="9" t="inlineStr">
        <is>
          <t>IMG_5631.HEIC</t>
        </is>
      </c>
    </row>
    <row r="64">
      <c r="A64" s="7" t="n">
        <v>59</v>
      </c>
      <c r="B64" s="8" t="n">
        <v>45989</v>
      </c>
      <c r="C64" s="7">
        <f>IF(B64="","미기재",TEXT(B64,"yyyy-mm"))</f>
        <v/>
      </c>
      <c r="D64" s="7" t="inlineStr">
        <is>
          <t>18:10</t>
        </is>
      </c>
      <c r="E64" s="9" t="inlineStr">
        <is>
          <t>SushiOne x Jjajang1980</t>
        </is>
      </c>
      <c r="F64" s="9" t="inlineStr">
        <is>
          <t>SushiOne x Jjajang1980</t>
        </is>
      </c>
      <c r="G64" s="9" t="inlineStr">
        <is>
          <t>4924 Yonge St, North York</t>
        </is>
      </c>
      <c r="H64" s="7" t="inlineStr">
        <is>
          <t>CAD</t>
        </is>
      </c>
      <c r="I64" s="10" t="n">
        <v>67.48</v>
      </c>
      <c r="J64" s="10" t="n">
        <v>8.77</v>
      </c>
      <c r="K64" s="10" t="n"/>
      <c r="L64" s="10" t="n"/>
      <c r="M64" s="10" t="n">
        <v>76.25</v>
      </c>
      <c r="N64" s="9" t="inlineStr">
        <is>
          <t>Cash</t>
        </is>
      </c>
      <c r="O64" s="7" t="inlineStr">
        <is>
          <t>Y</t>
        </is>
      </c>
      <c r="P64" s="9" t="inlineStr">
        <is>
          <t>소계 74.98에서 현금할인 10% -7.50 적용</t>
        </is>
      </c>
      <c r="Q64" s="9" t="inlineStr">
        <is>
          <t>IMG_5515.HEIC</t>
        </is>
      </c>
    </row>
    <row r="65">
      <c r="A65" s="7" t="n">
        <v>60</v>
      </c>
      <c r="B65" s="8" t="n">
        <v>45991</v>
      </c>
      <c r="C65" s="7">
        <f>IF(B65="","미기재",TEXT(B65,"yyyy-mm"))</f>
        <v/>
      </c>
      <c r="D65" s="7" t="inlineStr">
        <is>
          <t>14:59</t>
        </is>
      </c>
      <c r="E65" s="9" t="inlineStr">
        <is>
          <t>Pizza Hut</t>
        </is>
      </c>
      <c r="F65" s="9" t="inlineStr">
        <is>
          <t>Pizza Hut</t>
        </is>
      </c>
      <c r="G65" s="9" t="inlineStr">
        <is>
          <t>1564 Royal York Rd, Etobicoke</t>
        </is>
      </c>
      <c r="H65" s="7" t="inlineStr">
        <is>
          <t>CAD</t>
        </is>
      </c>
      <c r="I65" s="10" t="n"/>
      <c r="J65" s="10" t="n"/>
      <c r="K65" s="10" t="n"/>
      <c r="L65" s="10" t="n"/>
      <c r="M65" s="10" t="n">
        <v>33.88</v>
      </c>
      <c r="N65" s="9" t="inlineStr">
        <is>
          <t>Visa</t>
        </is>
      </c>
      <c r="O65" s="7" t="inlineStr">
        <is>
          <t>Y</t>
        </is>
      </c>
      <c r="P65" s="9" t="inlineStr">
        <is>
          <t>카드전표만(세금 내역 없음)</t>
        </is>
      </c>
      <c r="Q65" s="9" t="inlineStr">
        <is>
          <t>IMG_5517.HEIC</t>
        </is>
      </c>
    </row>
    <row r="66">
      <c r="A66" s="7" t="n">
        <v>61</v>
      </c>
      <c r="B66" s="8" t="n">
        <v>45995</v>
      </c>
      <c r="C66" s="7">
        <f>IF(B66="","미기재",TEXT(B66,"yyyy-mm"))</f>
        <v/>
      </c>
      <c r="D66" s="7" t="inlineStr">
        <is>
          <t>17:03</t>
        </is>
      </c>
      <c r="E66" s="9" t="inlineStr">
        <is>
          <t>Magic Auto</t>
        </is>
      </c>
      <c r="F66" s="9" t="inlineStr">
        <is>
          <t>Magic Auto</t>
        </is>
      </c>
      <c r="G66" s="9" t="inlineStr">
        <is>
          <t>180 Limestone Cres, North York</t>
        </is>
      </c>
      <c r="H66" s="7" t="inlineStr">
        <is>
          <t>CAD</t>
        </is>
      </c>
      <c r="I66" s="10" t="n">
        <v>65</v>
      </c>
      <c r="J66" s="10" t="n">
        <v>8.449999999999999</v>
      </c>
      <c r="K66" s="10" t="n"/>
      <c r="L66" s="10" t="n"/>
      <c r="M66" s="10" t="n">
        <v>73.45</v>
      </c>
      <c r="N66" s="9" t="inlineStr">
        <is>
          <t>Mastercard</t>
        </is>
      </c>
      <c r="O66" s="7" t="inlineStr">
        <is>
          <t>Y</t>
        </is>
      </c>
      <c r="P66" s="9" t="inlineStr">
        <is>
          <t>타이어 로테이션+펑크수리 (사진 흐림)</t>
        </is>
      </c>
      <c r="Q66" s="9" t="inlineStr">
        <is>
          <t>IMG_5627.HEIC</t>
        </is>
      </c>
    </row>
    <row r="67">
      <c r="A67" s="7" t="n">
        <v>62</v>
      </c>
      <c r="B67" s="8" t="n">
        <v>46004</v>
      </c>
      <c r="C67" s="7">
        <f>IF(B67="","미기재",TEXT(B67,"yyyy-mm"))</f>
        <v/>
      </c>
      <c r="D67" s="7" t="inlineStr">
        <is>
          <t>10:30</t>
        </is>
      </c>
      <c r="E67" s="9" t="inlineStr">
        <is>
          <t>Costco Gas (#1655)</t>
        </is>
      </c>
      <c r="F67" s="9" t="inlineStr">
        <is>
          <t>Costco 주유소</t>
        </is>
      </c>
      <c r="G67" s="9" t="inlineStr">
        <is>
          <t>2260 Islington Ave, Etobicoke</t>
        </is>
      </c>
      <c r="H67" s="7" t="inlineStr">
        <is>
          <t>CAD</t>
        </is>
      </c>
      <c r="I67" s="10" t="n">
        <v>51.81</v>
      </c>
      <c r="J67" s="10" t="n">
        <v>6.74</v>
      </c>
      <c r="K67" s="10" t="n"/>
      <c r="L67" s="10" t="n"/>
      <c r="M67" s="10" t="n">
        <v>58.55</v>
      </c>
      <c r="N67" s="9" t="inlineStr">
        <is>
          <t>Mastercard</t>
        </is>
      </c>
      <c r="O67" s="7" t="inlineStr">
        <is>
          <t>Y</t>
        </is>
      </c>
      <c r="P67" s="9" t="inlineStr">
        <is>
          <t>주유 48.830L (HST 포함가) / 시간 일부 흐림</t>
        </is>
      </c>
      <c r="Q67" s="9" t="inlineStr">
        <is>
          <t>IMG_5424.HEIC</t>
        </is>
      </c>
    </row>
    <row r="68">
      <c r="A68" s="7" t="n">
        <v>63</v>
      </c>
      <c r="B68" s="8" t="n">
        <v>46004</v>
      </c>
      <c r="C68" s="7">
        <f>IF(B68="","미기재",TEXT(B68,"yyyy-mm"))</f>
        <v/>
      </c>
      <c r="D68" s="7" t="inlineStr">
        <is>
          <t>17:55</t>
        </is>
      </c>
      <c r="E68" s="9" t="inlineStr">
        <is>
          <t>SushiOne x Jjajang1980</t>
        </is>
      </c>
      <c r="F68" s="9" t="inlineStr">
        <is>
          <t>SushiOne x Jjajang1980</t>
        </is>
      </c>
      <c r="G68" s="9" t="inlineStr">
        <is>
          <t>4924 Yonge St, North York</t>
        </is>
      </c>
      <c r="H68" s="7" t="inlineStr">
        <is>
          <t>CAD</t>
        </is>
      </c>
      <c r="I68" s="10" t="n">
        <v>56.99</v>
      </c>
      <c r="J68" s="10" t="n">
        <v>7.41</v>
      </c>
      <c r="K68" s="10" t="n"/>
      <c r="L68" s="10" t="n"/>
      <c r="M68" s="10" t="n">
        <v>64.40000000000001</v>
      </c>
      <c r="N68" s="9" t="n"/>
      <c r="O68" s="7" t="inlineStr">
        <is>
          <t>Y</t>
        </is>
      </c>
      <c r="P68" s="9" t="n"/>
      <c r="Q68" s="9" t="inlineStr">
        <is>
          <t>IMG_5518.HEIC</t>
        </is>
      </c>
    </row>
    <row r="69">
      <c r="A69" s="7" t="n">
        <v>64</v>
      </c>
      <c r="B69" s="8" t="n">
        <v>46007</v>
      </c>
      <c r="C69" s="7">
        <f>IF(B69="","미기재",TEXT(B69,"yyyy-mm"))</f>
        <v/>
      </c>
      <c r="D69" s="7" t="inlineStr">
        <is>
          <t>14:46</t>
        </is>
      </c>
      <c r="E69" s="9" t="inlineStr">
        <is>
          <t>Sunny Dragon</t>
        </is>
      </c>
      <c r="F69" s="9" t="inlineStr">
        <is>
          <t>Sunny Dragon</t>
        </is>
      </c>
      <c r="G69" s="9" t="inlineStr">
        <is>
          <t>398 Steeles Ave W #1, Vaughan</t>
        </is>
      </c>
      <c r="H69" s="7" t="inlineStr">
        <is>
          <t>CAD</t>
        </is>
      </c>
      <c r="I69" s="10" t="n">
        <v>25.98</v>
      </c>
      <c r="J69" s="10" t="n">
        <v>3.38</v>
      </c>
      <c r="K69" s="10" t="n"/>
      <c r="L69" s="10" t="n"/>
      <c r="M69" s="10" t="n">
        <v>29.36</v>
      </c>
      <c r="N69" s="9" t="n"/>
      <c r="O69" s="7" t="inlineStr">
        <is>
          <t>Y</t>
        </is>
      </c>
      <c r="P69" s="9" t="n"/>
      <c r="Q69" s="9" t="inlineStr">
        <is>
          <t>IMG_5491.HEIC</t>
        </is>
      </c>
    </row>
    <row r="70">
      <c r="A70" s="7" t="n">
        <v>65</v>
      </c>
      <c r="B70" s="8" t="n">
        <v>46007</v>
      </c>
      <c r="C70" s="7">
        <f>IF(B70="","미기재",TEXT(B70,"yyyy-mm"))</f>
        <v/>
      </c>
      <c r="D70" s="7" t="inlineStr">
        <is>
          <t>20:15</t>
        </is>
      </c>
      <c r="E70" s="9" t="inlineStr">
        <is>
          <t>Oretta (Downtown)</t>
        </is>
      </c>
      <c r="F70" s="9" t="inlineStr">
        <is>
          <t>Oretta (Downtown)</t>
        </is>
      </c>
      <c r="G70" s="9" t="inlineStr">
        <is>
          <t>160 Front St W, Toronto</t>
        </is>
      </c>
      <c r="H70" s="7" t="inlineStr">
        <is>
          <t>CAD</t>
        </is>
      </c>
      <c r="I70" s="10" t="n">
        <v>24</v>
      </c>
      <c r="J70" s="10" t="n">
        <v>3.12</v>
      </c>
      <c r="K70" s="10" t="n"/>
      <c r="L70" s="10" t="n">
        <v>4.88</v>
      </c>
      <c r="M70" s="10" t="n">
        <v>32</v>
      </c>
      <c r="N70" s="9" t="inlineStr">
        <is>
          <t>Interac</t>
        </is>
      </c>
      <c r="O70" s="7" t="inlineStr">
        <is>
          <t>Y</t>
        </is>
      </c>
      <c r="P70" s="9" t="n"/>
      <c r="Q70" s="9" t="inlineStr">
        <is>
          <t>IMG_5519.HEIC</t>
        </is>
      </c>
    </row>
    <row r="71">
      <c r="A71" s="7" t="n">
        <v>66</v>
      </c>
      <c r="B71" s="8" t="n">
        <v>46033</v>
      </c>
      <c r="C71" s="7">
        <f>IF(B71="","미기재",TEXT(B71,"yyyy-mm"))</f>
        <v/>
      </c>
      <c r="D71" s="7" t="inlineStr">
        <is>
          <t>11:06</t>
        </is>
      </c>
      <c r="E71" s="9" t="inlineStr">
        <is>
          <t>Shell</t>
        </is>
      </c>
      <c r="F71" s="9" t="inlineStr">
        <is>
          <t>Shell</t>
        </is>
      </c>
      <c r="G71" s="9" t="inlineStr">
        <is>
          <t>230 Lloydmanor Rd, Toronto</t>
        </is>
      </c>
      <c r="H71" s="7" t="inlineStr">
        <is>
          <t>CAD</t>
        </is>
      </c>
      <c r="I71" s="10" t="n">
        <v>56.02</v>
      </c>
      <c r="J71" s="10" t="n">
        <v>7.28</v>
      </c>
      <c r="K71" s="10" t="n"/>
      <c r="L71" s="10" t="n"/>
      <c r="M71" s="10" t="n">
        <v>63.3</v>
      </c>
      <c r="N71" s="9" t="inlineStr">
        <is>
          <t>Visa</t>
        </is>
      </c>
      <c r="O71" s="7" t="inlineStr">
        <is>
          <t>Y</t>
        </is>
      </c>
      <c r="P71" s="9" t="inlineStr">
        <is>
          <t>주유 49.495L (HST 포함가)</t>
        </is>
      </c>
      <c r="Q71" s="9" t="inlineStr">
        <is>
          <t>IMG_5419.HEIC</t>
        </is>
      </c>
    </row>
    <row r="72">
      <c r="A72" s="7" t="n">
        <v>67</v>
      </c>
      <c r="B72" s="8" t="n">
        <v>46041</v>
      </c>
      <c r="C72" s="7">
        <f>IF(B72="","미기재",TEXT(B72,"yyyy-mm"))</f>
        <v/>
      </c>
      <c r="D72" s="7" t="inlineStr">
        <is>
          <t>15:08</t>
        </is>
      </c>
      <c r="E72" s="9" t="inlineStr">
        <is>
          <t>Tim Hortons</t>
        </is>
      </c>
      <c r="F72" s="9" t="inlineStr">
        <is>
          <t>Tim Hortons</t>
        </is>
      </c>
      <c r="G72" s="9" t="inlineStr">
        <is>
          <t>1520 Aimco Blvd, Mississauga</t>
        </is>
      </c>
      <c r="H72" s="7" t="inlineStr">
        <is>
          <t>CAD</t>
        </is>
      </c>
      <c r="I72" s="10" t="n">
        <v>2.39</v>
      </c>
      <c r="J72" s="10" t="n">
        <v>0.12</v>
      </c>
      <c r="K72" s="10" t="n"/>
      <c r="L72" s="10" t="n"/>
      <c r="M72" s="10" t="n">
        <v>2.51</v>
      </c>
      <c r="N72" s="9" t="inlineStr">
        <is>
          <t>Mastercard</t>
        </is>
      </c>
      <c r="O72" s="7" t="inlineStr">
        <is>
          <t>Y</t>
        </is>
      </c>
      <c r="P72" s="9" t="n"/>
      <c r="Q72" s="9" t="inlineStr">
        <is>
          <t>IMG_5372.HEIC</t>
        </is>
      </c>
    </row>
    <row r="73">
      <c r="A73" s="7" t="n">
        <v>68</v>
      </c>
      <c r="B73" s="8" t="n">
        <v>46042</v>
      </c>
      <c r="C73" s="7">
        <f>IF(B73="","미기재",TEXT(B73,"yyyy-mm"))</f>
        <v/>
      </c>
      <c r="D73" s="7" t="inlineStr">
        <is>
          <t>12:29</t>
        </is>
      </c>
      <c r="E73" s="9" t="inlineStr">
        <is>
          <t>Staples (Yonge and Steeles)</t>
        </is>
      </c>
      <c r="F73" s="9" t="inlineStr">
        <is>
          <t>Staples</t>
        </is>
      </c>
      <c r="G73" s="9" t="inlineStr">
        <is>
          <t>32 Steeles Ave W, Thornhill</t>
        </is>
      </c>
      <c r="H73" s="7" t="inlineStr">
        <is>
          <t>CAD</t>
        </is>
      </c>
      <c r="I73" s="10" t="n">
        <v>4.13</v>
      </c>
      <c r="J73" s="10" t="n">
        <v>0.54</v>
      </c>
      <c r="K73" s="10" t="n"/>
      <c r="L73" s="10" t="n"/>
      <c r="M73" s="10" t="n">
        <v>4.67</v>
      </c>
      <c r="N73" s="9" t="inlineStr">
        <is>
          <t>Mastercard</t>
        </is>
      </c>
      <c r="O73" s="7" t="inlineStr">
        <is>
          <t>Y</t>
        </is>
      </c>
      <c r="P73" s="9" t="inlineStr">
        <is>
          <t>컬러 출력</t>
        </is>
      </c>
      <c r="Q73" s="9" t="inlineStr">
        <is>
          <t>IMG_5633.HEIC</t>
        </is>
      </c>
    </row>
    <row r="74">
      <c r="A74" s="7" t="n">
        <v>69</v>
      </c>
      <c r="B74" s="8" t="n">
        <v>46043</v>
      </c>
      <c r="C74" s="7">
        <f>IF(B74="","미기재",TEXT(B74,"yyyy-mm"))</f>
        <v/>
      </c>
      <c r="D74" s="7" t="inlineStr">
        <is>
          <t>12:54</t>
        </is>
      </c>
      <c r="E74" s="9" t="inlineStr">
        <is>
          <t>Enerplace (Air Filters)</t>
        </is>
      </c>
      <c r="F74" s="9" t="inlineStr">
        <is>
          <t>Enerplace (Air Filters)</t>
        </is>
      </c>
      <c r="G74" s="9" t="inlineStr">
        <is>
          <t>2550 Goldenridge Rd, Mississauga</t>
        </is>
      </c>
      <c r="H74" s="7" t="inlineStr">
        <is>
          <t>CAD</t>
        </is>
      </c>
      <c r="I74" s="10" t="n">
        <v>52</v>
      </c>
      <c r="J74" s="10" t="n">
        <v>6.76</v>
      </c>
      <c r="K74" s="10" t="n"/>
      <c r="L74" s="10" t="n"/>
      <c r="M74" s="10" t="n">
        <v>58.76</v>
      </c>
      <c r="N74" s="9" t="inlineStr">
        <is>
          <t>Mastercard</t>
        </is>
      </c>
      <c r="O74" s="7" t="inlineStr">
        <is>
          <t>Y</t>
        </is>
      </c>
      <c r="P74" s="9" t="inlineStr">
        <is>
          <t>에어필터 4개</t>
        </is>
      </c>
      <c r="Q74" s="9" t="inlineStr">
        <is>
          <t>IMG_5647.HEIC</t>
        </is>
      </c>
    </row>
    <row r="75">
      <c r="A75" s="7" t="n">
        <v>70</v>
      </c>
      <c r="B75" s="8" t="n">
        <v>46044</v>
      </c>
      <c r="C75" s="7">
        <f>IF(B75="","미기재",TEXT(B75,"yyyy-mm"))</f>
        <v/>
      </c>
      <c r="D75" s="7" t="inlineStr">
        <is>
          <t>11:08</t>
        </is>
      </c>
      <c r="E75" s="9" t="inlineStr">
        <is>
          <t>Canco 718 Brampton</t>
        </is>
      </c>
      <c r="F75" s="9" t="inlineStr">
        <is>
          <t>Canco 718 Brampton</t>
        </is>
      </c>
      <c r="G75" s="9" t="inlineStr">
        <is>
          <t>196 Steeles Ave E, Brampton</t>
        </is>
      </c>
      <c r="H75" s="7" t="inlineStr">
        <is>
          <t>CAD</t>
        </is>
      </c>
      <c r="I75" s="10" t="n">
        <v>44.25</v>
      </c>
      <c r="J75" s="10" t="n">
        <v>5.75</v>
      </c>
      <c r="K75" s="10" t="n"/>
      <c r="L75" s="10" t="n"/>
      <c r="M75" s="10" t="n">
        <v>50</v>
      </c>
      <c r="N75" s="9" t="n"/>
      <c r="O75" s="7" t="inlineStr">
        <is>
          <t>Y</t>
        </is>
      </c>
      <c r="P75" s="9" t="inlineStr">
        <is>
          <t>주유 39.715L (HST 포함가)</t>
        </is>
      </c>
      <c r="Q75" s="9" t="inlineStr">
        <is>
          <t>IMG_5429.HEIC</t>
        </is>
      </c>
    </row>
    <row r="76">
      <c r="A76" s="7" t="n">
        <v>71</v>
      </c>
      <c r="B76" s="8" t="n">
        <v>46045</v>
      </c>
      <c r="C76" s="7">
        <f>IF(B76="","미기재",TEXT(B76,"yyyy-mm"))</f>
        <v/>
      </c>
      <c r="D76" s="7" t="inlineStr">
        <is>
          <t>12:33</t>
        </is>
      </c>
      <c r="E76" s="9" t="inlineStr">
        <is>
          <t>Sport Chek (North Queen) - 온라인주문 반품</t>
        </is>
      </c>
      <c r="F76" s="9" t="inlineStr">
        <is>
          <t>Sport Chek</t>
        </is>
      </c>
      <c r="G76" s="9" t="inlineStr">
        <is>
          <t>162 North Queen St, Etobicoke</t>
        </is>
      </c>
      <c r="H76" s="7" t="inlineStr">
        <is>
          <t>CAD</t>
        </is>
      </c>
      <c r="I76" s="10" t="n">
        <v>-99.97</v>
      </c>
      <c r="J76" s="10" t="n">
        <v>-13</v>
      </c>
      <c r="K76" s="10" t="n"/>
      <c r="L76" s="10" t="n"/>
      <c r="M76" s="10" t="n">
        <v>-112.97</v>
      </c>
      <c r="N76" s="9" t="inlineStr">
        <is>
          <t>Mastercard</t>
        </is>
      </c>
      <c r="O76" s="7" t="inlineStr">
        <is>
          <t>Y</t>
        </is>
      </c>
      <c r="P76" s="9" t="inlineStr">
        <is>
          <t>환불(RETURN) - 신발 사이즈</t>
        </is>
      </c>
      <c r="Q76" s="9" t="inlineStr">
        <is>
          <t>IMG_5570.HEIC</t>
        </is>
      </c>
    </row>
    <row r="77">
      <c r="A77" s="7" t="n">
        <v>72</v>
      </c>
      <c r="B77" s="8" t="n">
        <v>46046</v>
      </c>
      <c r="C77" s="7">
        <f>IF(B77="","미기재",TEXT(B77,"yyyy-mm"))</f>
        <v/>
      </c>
      <c r="D77" s="7" t="inlineStr">
        <is>
          <t>09:00</t>
        </is>
      </c>
      <c r="E77" s="9" t="inlineStr">
        <is>
          <t>Costco Gas (#1655)</t>
        </is>
      </c>
      <c r="F77" s="9" t="inlineStr">
        <is>
          <t>Costco 주유소</t>
        </is>
      </c>
      <c r="G77" s="9" t="inlineStr">
        <is>
          <t>2260 Islington Ave, Etobicoke</t>
        </is>
      </c>
      <c r="H77" s="7" t="inlineStr">
        <is>
          <t>CAD</t>
        </is>
      </c>
      <c r="I77" s="10" t="n">
        <v>43.91</v>
      </c>
      <c r="J77" s="10" t="n">
        <v>5.71</v>
      </c>
      <c r="K77" s="10" t="n"/>
      <c r="L77" s="10" t="n"/>
      <c r="M77" s="10" t="n">
        <v>49.62</v>
      </c>
      <c r="N77" s="9" t="inlineStr">
        <is>
          <t>Mastercard</t>
        </is>
      </c>
      <c r="O77" s="7" t="inlineStr">
        <is>
          <t>Y</t>
        </is>
      </c>
      <c r="P77" s="9" t="inlineStr">
        <is>
          <t>주유 40.375L (HST 포함가)</t>
        </is>
      </c>
      <c r="Q77" s="9" t="inlineStr">
        <is>
          <t>IMG_5368.HEIC</t>
        </is>
      </c>
    </row>
    <row r="78">
      <c r="A78" s="7" t="n">
        <v>73</v>
      </c>
      <c r="B78" s="8" t="n">
        <v>46053</v>
      </c>
      <c r="C78" s="7">
        <f>IF(B78="","미기재",TEXT(B78,"yyyy-mm"))</f>
        <v/>
      </c>
      <c r="D78" s="7" t="inlineStr">
        <is>
          <t>18:24</t>
        </is>
      </c>
      <c r="E78" s="9" t="inlineStr">
        <is>
          <t>Tim Hortons</t>
        </is>
      </c>
      <c r="F78" s="9" t="inlineStr">
        <is>
          <t>Tim Hortons</t>
        </is>
      </c>
      <c r="G78" s="9" t="inlineStr">
        <is>
          <t>5555 Eglinton Ave W, Etobicoke</t>
        </is>
      </c>
      <c r="H78" s="7" t="inlineStr">
        <is>
          <t>CAD</t>
        </is>
      </c>
      <c r="I78" s="10" t="n">
        <v>2.29</v>
      </c>
      <c r="J78" s="10" t="n">
        <v>0.11</v>
      </c>
      <c r="K78" s="10" t="n"/>
      <c r="L78" s="10" t="n"/>
      <c r="M78" s="10" t="n">
        <v>2.4</v>
      </c>
      <c r="N78" s="9" t="inlineStr">
        <is>
          <t>Mastercard</t>
        </is>
      </c>
      <c r="O78" s="7" t="inlineStr">
        <is>
          <t>Y</t>
        </is>
      </c>
      <c r="P78" s="9" t="n"/>
      <c r="Q78" s="9" t="inlineStr">
        <is>
          <t>IMG_5369.HEIC</t>
        </is>
      </c>
    </row>
    <row r="79">
      <c r="A79" s="7" t="n">
        <v>74</v>
      </c>
      <c r="B79" s="8" t="n">
        <v>46067</v>
      </c>
      <c r="C79" s="7">
        <f>IF(B79="","미기재",TEXT(B79,"yyyy-mm"))</f>
        <v/>
      </c>
      <c r="D79" s="7" t="inlineStr">
        <is>
          <t>10:58</t>
        </is>
      </c>
      <c r="E79" s="9" t="inlineStr">
        <is>
          <t>Gap Outlet (Vaughan Mills)</t>
        </is>
      </c>
      <c r="F79" s="9" t="inlineStr">
        <is>
          <t>Gap Outlet (Vaughan Mills)</t>
        </is>
      </c>
      <c r="G79" s="9" t="inlineStr">
        <is>
          <t>1 Bass Pro Mills Dr, Vaughan</t>
        </is>
      </c>
      <c r="H79" s="7" t="inlineStr">
        <is>
          <t>CAD</t>
        </is>
      </c>
      <c r="I79" s="10" t="n">
        <v>40</v>
      </c>
      <c r="J79" s="10" t="n">
        <v>5.2</v>
      </c>
      <c r="K79" s="10" t="n"/>
      <c r="L79" s="10" t="n"/>
      <c r="M79" s="10" t="n">
        <v>45.2</v>
      </c>
      <c r="N79" s="9" t="inlineStr">
        <is>
          <t>Visa</t>
        </is>
      </c>
      <c r="O79" s="7" t="inlineStr">
        <is>
          <t>Y</t>
        </is>
      </c>
      <c r="P79" s="9" t="inlineStr">
        <is>
          <t>60% 할인 적용(-59.98)</t>
        </is>
      </c>
      <c r="Q79" s="9" t="inlineStr">
        <is>
          <t>IMG_5481.HEIC</t>
        </is>
      </c>
    </row>
    <row r="80">
      <c r="A80" s="7" t="n">
        <v>75</v>
      </c>
      <c r="B80" s="8" t="n">
        <v>46067</v>
      </c>
      <c r="C80" s="7">
        <f>IF(B80="","미기재",TEXT(B80,"yyyy-mm"))</f>
        <v/>
      </c>
      <c r="D80" s="7" t="inlineStr">
        <is>
          <t>15:46</t>
        </is>
      </c>
      <c r="E80" s="9" t="inlineStr">
        <is>
          <t>Tim Hortons</t>
        </is>
      </c>
      <c r="F80" s="9" t="inlineStr">
        <is>
          <t>Tim Hortons</t>
        </is>
      </c>
      <c r="G80" s="9" t="inlineStr">
        <is>
          <t>2960 S Sheridan Way, Oakville</t>
        </is>
      </c>
      <c r="H80" s="7" t="inlineStr">
        <is>
          <t>CAD</t>
        </is>
      </c>
      <c r="I80" s="10" t="n">
        <v>2.39</v>
      </c>
      <c r="J80" s="10" t="n">
        <v>0.12</v>
      </c>
      <c r="K80" s="10" t="n"/>
      <c r="L80" s="10" t="n"/>
      <c r="M80" s="10" t="n">
        <v>2.51</v>
      </c>
      <c r="N80" s="9" t="inlineStr">
        <is>
          <t>Mastercard</t>
        </is>
      </c>
      <c r="O80" s="7" t="inlineStr">
        <is>
          <t>Y</t>
        </is>
      </c>
      <c r="P80" s="9" t="n"/>
      <c r="Q80" s="9" t="inlineStr">
        <is>
          <t>IMG_5380.HEIC</t>
        </is>
      </c>
    </row>
    <row r="81">
      <c r="A81" s="7" t="n">
        <v>76</v>
      </c>
      <c r="B81" s="8" t="n">
        <v>46070</v>
      </c>
      <c r="C81" s="7">
        <f>IF(B81="","미기재",TEXT(B81,"yyyy-mm"))</f>
        <v/>
      </c>
      <c r="D81" s="7" t="inlineStr">
        <is>
          <t>14:04</t>
        </is>
      </c>
      <c r="E81" s="9" t="inlineStr">
        <is>
          <t>Gimbap Shop</t>
        </is>
      </c>
      <c r="F81" s="9" t="inlineStr">
        <is>
          <t>Gimbap Shop</t>
        </is>
      </c>
      <c r="G81" s="9" t="inlineStr">
        <is>
          <t>11 Spring Garden Ave, North York</t>
        </is>
      </c>
      <c r="H81" s="7" t="inlineStr">
        <is>
          <t>CAD</t>
        </is>
      </c>
      <c r="I81" s="10" t="n">
        <v>31.98</v>
      </c>
      <c r="J81" s="10" t="n">
        <v>4.16</v>
      </c>
      <c r="K81" s="10" t="n"/>
      <c r="L81" s="10" t="n">
        <v>5.42</v>
      </c>
      <c r="M81" s="10" t="n">
        <v>41.56</v>
      </c>
      <c r="N81" s="9" t="inlineStr">
        <is>
          <t>Mastercard</t>
        </is>
      </c>
      <c r="O81" s="7" t="inlineStr">
        <is>
          <t>Y</t>
        </is>
      </c>
      <c r="P81" s="9" t="n"/>
      <c r="Q81" s="9" t="inlineStr">
        <is>
          <t>IMG_5379.HEIC</t>
        </is>
      </c>
    </row>
    <row r="82">
      <c r="A82" s="7" t="n">
        <v>77</v>
      </c>
      <c r="B82" s="8" t="n">
        <v>46074</v>
      </c>
      <c r="C82" s="7">
        <f>IF(B82="","미기재",TEXT(B82,"yyyy-mm"))</f>
        <v/>
      </c>
      <c r="D82" s="7" t="inlineStr">
        <is>
          <t>09:46</t>
        </is>
      </c>
      <c r="E82" s="9" t="inlineStr">
        <is>
          <t>Costco Gas (#1655)</t>
        </is>
      </c>
      <c r="F82" s="9" t="inlineStr">
        <is>
          <t>Costco 주유소</t>
        </is>
      </c>
      <c r="G82" s="9" t="inlineStr">
        <is>
          <t>2260 Islington Ave, Etobicoke</t>
        </is>
      </c>
      <c r="H82" s="7" t="inlineStr">
        <is>
          <t>CAD</t>
        </is>
      </c>
      <c r="I82" s="10" t="n">
        <v>53.58</v>
      </c>
      <c r="J82" s="10" t="n">
        <v>6.96</v>
      </c>
      <c r="K82" s="10" t="n"/>
      <c r="L82" s="10" t="n"/>
      <c r="M82" s="10" t="n">
        <v>60.54</v>
      </c>
      <c r="N82" s="9" t="inlineStr">
        <is>
          <t>Mastercard</t>
        </is>
      </c>
      <c r="O82" s="7" t="inlineStr">
        <is>
          <t>Y</t>
        </is>
      </c>
      <c r="P82" s="9" t="inlineStr">
        <is>
          <t>주유 48.470L (HST 포함가)</t>
        </is>
      </c>
      <c r="Q82" s="9" t="inlineStr">
        <is>
          <t>IMG_5416.HEIC</t>
        </is>
      </c>
    </row>
    <row r="83">
      <c r="A83" s="7" t="n">
        <v>78</v>
      </c>
      <c r="B83" s="8" t="n">
        <v>46081</v>
      </c>
      <c r="C83" s="7">
        <f>IF(B83="","미기재",TEXT(B83,"yyyy-mm"))</f>
        <v/>
      </c>
      <c r="D83" s="7" t="inlineStr">
        <is>
          <t>12:45</t>
        </is>
      </c>
      <c r="E83" s="9" t="inlineStr">
        <is>
          <t>Pho Anh Vu (Yonge-Sheppard)</t>
        </is>
      </c>
      <c r="F83" s="9" t="inlineStr">
        <is>
          <t>Pho Anh Vu (Yonge-Sheppard)</t>
        </is>
      </c>
      <c r="G83" s="9" t="inlineStr">
        <is>
          <t>5051 Yonge St, North York</t>
        </is>
      </c>
      <c r="H83" s="7" t="inlineStr">
        <is>
          <t>CAD</t>
        </is>
      </c>
      <c r="I83" s="10" t="n">
        <v>122.26</v>
      </c>
      <c r="J83" s="10" t="n">
        <v>15.89</v>
      </c>
      <c r="K83" s="10" t="n"/>
      <c r="L83" s="10" t="n"/>
      <c r="M83" s="10" t="n">
        <v>138.15</v>
      </c>
      <c r="N83" s="9" t="n"/>
      <c r="O83" s="7" t="inlineStr">
        <is>
          <t>Y</t>
        </is>
      </c>
      <c r="P83" s="9" t="inlineStr">
        <is>
          <t>소계 128.70에서 5% 할인 -6.44 적용</t>
        </is>
      </c>
      <c r="Q83" s="9" t="inlineStr">
        <is>
          <t>IMG_5382.HEIC</t>
        </is>
      </c>
    </row>
    <row r="84">
      <c r="A84" s="7" t="n">
        <v>79</v>
      </c>
      <c r="B84" s="8" t="n">
        <v>46085</v>
      </c>
      <c r="C84" s="7">
        <f>IF(B84="","미기재",TEXT(B84,"yyyy-mm"))</f>
        <v/>
      </c>
      <c r="D84" s="7" t="inlineStr">
        <is>
          <t>15:36</t>
        </is>
      </c>
      <c r="E84" s="9" t="inlineStr">
        <is>
          <t>Le Labo Toronto Hazelton</t>
        </is>
      </c>
      <c r="F84" s="9" t="inlineStr">
        <is>
          <t>Le Labo Toronto Hazelton</t>
        </is>
      </c>
      <c r="G84" s="9" t="inlineStr">
        <is>
          <t>15 Hazelton Ave, Toronto</t>
        </is>
      </c>
      <c r="H84" s="7" t="inlineStr">
        <is>
          <t>CAD</t>
        </is>
      </c>
      <c r="I84" s="10" t="n"/>
      <c r="J84" s="10" t="n"/>
      <c r="K84" s="10" t="n"/>
      <c r="L84" s="10" t="n"/>
      <c r="M84" s="10" t="n">
        <v>10.17</v>
      </c>
      <c r="N84" s="9" t="inlineStr">
        <is>
          <t>Interac</t>
        </is>
      </c>
      <c r="O84" s="7" t="inlineStr">
        <is>
          <t>Y</t>
        </is>
      </c>
      <c r="P84" s="9" t="inlineStr">
        <is>
          <t>카드전표만(세금 내역 없음)</t>
        </is>
      </c>
      <c r="Q84" s="9" t="inlineStr">
        <is>
          <t>IMG_5362.HEIC</t>
        </is>
      </c>
    </row>
    <row r="85">
      <c r="A85" s="7" t="n">
        <v>80</v>
      </c>
      <c r="B85" s="8" t="n">
        <v>46088</v>
      </c>
      <c r="C85" s="7">
        <f>IF(B85="","미기재",TEXT(B85,"yyyy-mm"))</f>
        <v/>
      </c>
      <c r="D85" s="7" t="inlineStr">
        <is>
          <t>18:10</t>
        </is>
      </c>
      <c r="E85" s="9" t="inlineStr">
        <is>
          <t>Costco Gas (#1655)</t>
        </is>
      </c>
      <c r="F85" s="9" t="inlineStr">
        <is>
          <t>Costco 주유소</t>
        </is>
      </c>
      <c r="G85" s="9" t="inlineStr">
        <is>
          <t>2260 Islington Ave, Etobicoke</t>
        </is>
      </c>
      <c r="H85" s="7" t="inlineStr">
        <is>
          <t>CAD</t>
        </is>
      </c>
      <c r="I85" s="10" t="n">
        <v>56.12</v>
      </c>
      <c r="J85" s="10" t="n">
        <v>7.3</v>
      </c>
      <c r="K85" s="10" t="n"/>
      <c r="L85" s="10" t="n"/>
      <c r="M85" s="10" t="n">
        <v>63.42</v>
      </c>
      <c r="N85" s="9" t="inlineStr">
        <is>
          <t>Mastercard</t>
        </is>
      </c>
      <c r="O85" s="7" t="inlineStr">
        <is>
          <t>Y</t>
        </is>
      </c>
      <c r="P85" s="9" t="inlineStr">
        <is>
          <t>주유 43.765L (HST 포함가)</t>
        </is>
      </c>
      <c r="Q85" s="9" t="inlineStr">
        <is>
          <t>IMG_5359.HEIC</t>
        </is>
      </c>
    </row>
    <row r="86">
      <c r="A86" s="7" t="n">
        <v>81</v>
      </c>
      <c r="B86" s="8" t="n">
        <v>46095</v>
      </c>
      <c r="C86" s="7">
        <f>IF(B86="","미기재",TEXT(B86,"yyyy-mm"))</f>
        <v/>
      </c>
      <c r="D86" s="7" t="inlineStr">
        <is>
          <t>13:54</t>
        </is>
      </c>
      <c r="E86" s="9" t="inlineStr">
        <is>
          <t>P.A.T Spring Garden Market</t>
        </is>
      </c>
      <c r="F86" s="9" t="inlineStr">
        <is>
          <t>P.A.T Spring Garden Market</t>
        </is>
      </c>
      <c r="G86" s="9" t="inlineStr">
        <is>
          <t>63 Spring Garden Ave, North York</t>
        </is>
      </c>
      <c r="H86" s="7" t="inlineStr">
        <is>
          <t>CAD</t>
        </is>
      </c>
      <c r="I86" s="10" t="n">
        <v>1.29</v>
      </c>
      <c r="J86" s="10" t="n">
        <v>0.17</v>
      </c>
      <c r="K86" s="10" t="n"/>
      <c r="L86" s="10" t="n"/>
      <c r="M86" s="10" t="n">
        <v>1.46</v>
      </c>
      <c r="N86" s="9" t="inlineStr">
        <is>
          <t>Mastercard</t>
        </is>
      </c>
      <c r="O86" s="7" t="inlineStr">
        <is>
          <t>Y</t>
        </is>
      </c>
      <c r="P86" s="9" t="n"/>
      <c r="Q86" s="9" t="inlineStr">
        <is>
          <t>IMG_5348.HEIC</t>
        </is>
      </c>
    </row>
    <row r="87">
      <c r="A87" s="7" t="n">
        <v>82</v>
      </c>
      <c r="B87" s="8" t="n">
        <v>46095</v>
      </c>
      <c r="C87" s="7">
        <f>IF(B87="","미기재",TEXT(B87,"yyyy-mm"))</f>
        <v/>
      </c>
      <c r="D87" s="7" t="inlineStr">
        <is>
          <t>14:10</t>
        </is>
      </c>
      <c r="E87" s="9" t="inlineStr">
        <is>
          <t>Tim Hortons</t>
        </is>
      </c>
      <c r="F87" s="9" t="inlineStr">
        <is>
          <t>Tim Hortons</t>
        </is>
      </c>
      <c r="G87" s="9" t="inlineStr">
        <is>
          <t>4986 Yonge St, Toronto</t>
        </is>
      </c>
      <c r="H87" s="7" t="inlineStr">
        <is>
          <t>CAD</t>
        </is>
      </c>
      <c r="I87" s="10" t="n">
        <v>5.29</v>
      </c>
      <c r="J87" s="10" t="n">
        <v>0</v>
      </c>
      <c r="K87" s="10" t="n"/>
      <c r="L87" s="10" t="n"/>
      <c r="M87" s="10" t="n">
        <v>5.29</v>
      </c>
      <c r="N87" s="9" t="inlineStr">
        <is>
          <t>Visa</t>
        </is>
      </c>
      <c r="O87" s="7" t="inlineStr">
        <is>
          <t>Y</t>
        </is>
      </c>
      <c r="P87" s="9" t="n"/>
      <c r="Q87" s="9" t="inlineStr">
        <is>
          <t>IMG_5347.HEIC</t>
        </is>
      </c>
    </row>
    <row r="88">
      <c r="A88" s="7" t="n">
        <v>83</v>
      </c>
      <c r="B88" s="8" t="n">
        <v>46100</v>
      </c>
      <c r="C88" s="7">
        <f>IF(B88="","미기재",TEXT(B88,"yyyy-mm"))</f>
        <v/>
      </c>
      <c r="D88" s="7" t="inlineStr">
        <is>
          <t>15:19</t>
        </is>
      </c>
      <c r="E88" s="9" t="inlineStr">
        <is>
          <t>Dixie Esso</t>
        </is>
      </c>
      <c r="F88" s="9" t="inlineStr">
        <is>
          <t>Esso</t>
        </is>
      </c>
      <c r="G88" s="9" t="inlineStr">
        <is>
          <t>8044 Dixie Rd, Brampton</t>
        </is>
      </c>
      <c r="H88" s="7" t="inlineStr">
        <is>
          <t>CAD</t>
        </is>
      </c>
      <c r="I88" s="10" t="n">
        <v>44.25</v>
      </c>
      <c r="J88" s="10" t="n">
        <v>5.75</v>
      </c>
      <c r="K88" s="10" t="n"/>
      <c r="L88" s="10" t="n"/>
      <c r="M88" s="10" t="n">
        <v>50</v>
      </c>
      <c r="N88" s="9" t="inlineStr">
        <is>
          <t>Mastercard (Fleet)</t>
        </is>
      </c>
      <c r="O88" s="7" t="inlineStr">
        <is>
          <t>Y</t>
        </is>
      </c>
      <c r="P88" s="9" t="inlineStr">
        <is>
          <t>주유 30.693L 선결제 (HST 포함가)</t>
        </is>
      </c>
      <c r="Q88" s="9" t="inlineStr">
        <is>
          <t>IMG_5421.HEIC</t>
        </is>
      </c>
    </row>
    <row r="89">
      <c r="A89" s="7" t="n">
        <v>84</v>
      </c>
      <c r="B89" s="8" t="n">
        <v>46101</v>
      </c>
      <c r="C89" s="7">
        <f>IF(B89="","미기재",TEXT(B89,"yyyy-mm"))</f>
        <v/>
      </c>
      <c r="D89" s="7" t="inlineStr">
        <is>
          <t>08:42</t>
        </is>
      </c>
      <c r="E89" s="9" t="inlineStr">
        <is>
          <t>Imperial Parking</t>
        </is>
      </c>
      <c r="F89" s="9" t="inlineStr">
        <is>
          <t>Imperial Parking</t>
        </is>
      </c>
      <c r="G89" s="9" t="inlineStr">
        <is>
          <t>5343 Dundas St W, Toronto</t>
        </is>
      </c>
      <c r="H89" s="7" t="inlineStr">
        <is>
          <t>CAD</t>
        </is>
      </c>
      <c r="I89" s="10" t="n">
        <v>2.65</v>
      </c>
      <c r="J89" s="10" t="n">
        <v>0.35</v>
      </c>
      <c r="K89" s="10" t="n"/>
      <c r="L89" s="10" t="n"/>
      <c r="M89" s="10" t="n">
        <v>3</v>
      </c>
      <c r="N89" s="9" t="inlineStr">
        <is>
          <t>Mastercard</t>
        </is>
      </c>
      <c r="O89" s="7" t="inlineStr">
        <is>
          <t>Y</t>
        </is>
      </c>
      <c r="P89" s="9" t="inlineStr">
        <is>
          <t>주차 22분</t>
        </is>
      </c>
      <c r="Q89" s="9" t="inlineStr">
        <is>
          <t>IMG_5354.HEIC</t>
        </is>
      </c>
    </row>
    <row r="90">
      <c r="A90" s="7" t="n">
        <v>85</v>
      </c>
      <c r="B90" s="8" t="n">
        <v>46101</v>
      </c>
      <c r="C90" s="7">
        <f>IF(B90="","미기재",TEXT(B90,"yyyy-mm"))</f>
        <v/>
      </c>
      <c r="D90" s="7" t="inlineStr">
        <is>
          <t>14:37</t>
        </is>
      </c>
      <c r="E90" s="9" t="inlineStr">
        <is>
          <t>Imperial Parking</t>
        </is>
      </c>
      <c r="F90" s="9" t="inlineStr">
        <is>
          <t>Imperial Parking</t>
        </is>
      </c>
      <c r="G90" s="9" t="inlineStr">
        <is>
          <t>5343 Dundas St W, Toronto</t>
        </is>
      </c>
      <c r="H90" s="7" t="inlineStr">
        <is>
          <t>CAD</t>
        </is>
      </c>
      <c r="I90" s="10" t="n">
        <v>5.31</v>
      </c>
      <c r="J90" s="10" t="n">
        <v>0.6899999999999999</v>
      </c>
      <c r="K90" s="10" t="n"/>
      <c r="L90" s="10" t="n"/>
      <c r="M90" s="10" t="n">
        <v>6</v>
      </c>
      <c r="N90" s="9" t="inlineStr">
        <is>
          <t>Mastercard</t>
        </is>
      </c>
      <c r="O90" s="7" t="inlineStr">
        <is>
          <t>Y</t>
        </is>
      </c>
      <c r="P90" s="9" t="inlineStr">
        <is>
          <t>주차 56분</t>
        </is>
      </c>
      <c r="Q90" s="9" t="inlineStr">
        <is>
          <t>IMG_5353.HEIC</t>
        </is>
      </c>
    </row>
    <row r="91">
      <c r="A91" s="7" t="n">
        <v>86</v>
      </c>
      <c r="B91" s="8" t="n">
        <v>46102</v>
      </c>
      <c r="C91" s="7">
        <f>IF(B91="","미기재",TEXT(B91,"yyyy-mm"))</f>
        <v/>
      </c>
      <c r="D91" s="7" t="inlineStr">
        <is>
          <t>12:40</t>
        </is>
      </c>
      <c r="E91" s="9" t="inlineStr">
        <is>
          <t>Costco Gas (#1655)</t>
        </is>
      </c>
      <c r="F91" s="9" t="inlineStr">
        <is>
          <t>Costco 주유소</t>
        </is>
      </c>
      <c r="G91" s="9" t="inlineStr">
        <is>
          <t>2260 Islington Ave, Etobicoke</t>
        </is>
      </c>
      <c r="H91" s="7" t="inlineStr">
        <is>
          <t>CAD</t>
        </is>
      </c>
      <c r="I91" s="10" t="n">
        <v>40.32</v>
      </c>
      <c r="J91" s="10" t="n">
        <v>5.24</v>
      </c>
      <c r="K91" s="10" t="n"/>
      <c r="L91" s="10" t="n"/>
      <c r="M91" s="10" t="n">
        <v>45.56</v>
      </c>
      <c r="N91" s="9" t="inlineStr">
        <is>
          <t>Mastercard</t>
        </is>
      </c>
      <c r="O91" s="7" t="inlineStr">
        <is>
          <t>Y</t>
        </is>
      </c>
      <c r="P91" s="9" t="inlineStr">
        <is>
          <t>주유 28.491L (HST 포함가)</t>
        </is>
      </c>
      <c r="Q91" s="9" t="inlineStr">
        <is>
          <t>IMG_5433.HEIC</t>
        </is>
      </c>
    </row>
    <row r="92">
      <c r="A92" s="7" t="n">
        <v>87</v>
      </c>
      <c r="B92" s="8" t="n">
        <v>46103</v>
      </c>
      <c r="C92" s="7">
        <f>IF(B92="","미기재",TEXT(B92,"yyyy-mm"))</f>
        <v/>
      </c>
      <c r="D92" s="7" t="inlineStr">
        <is>
          <t>18:11</t>
        </is>
      </c>
      <c r="E92" s="9" t="inlineStr">
        <is>
          <t>Tim Hortons</t>
        </is>
      </c>
      <c r="F92" s="9" t="inlineStr">
        <is>
          <t>Tim Hortons</t>
        </is>
      </c>
      <c r="G92" s="9" t="inlineStr">
        <is>
          <t>4986 Yonge St, Toronto</t>
        </is>
      </c>
      <c r="H92" s="7" t="inlineStr">
        <is>
          <t>CAD</t>
        </is>
      </c>
      <c r="I92" s="10" t="n">
        <v>9.99</v>
      </c>
      <c r="J92" s="10" t="n">
        <v>0</v>
      </c>
      <c r="K92" s="10" t="n"/>
      <c r="L92" s="10" t="n"/>
      <c r="M92" s="10" t="n">
        <v>9.99</v>
      </c>
      <c r="N92" s="9" t="inlineStr">
        <is>
          <t>Mastercard</t>
        </is>
      </c>
      <c r="O92" s="7" t="inlineStr">
        <is>
          <t>Y</t>
        </is>
      </c>
      <c r="P92" s="9" t="n"/>
      <c r="Q92" s="9" t="inlineStr">
        <is>
          <t>IMG_5568.HEIC</t>
        </is>
      </c>
    </row>
    <row r="93">
      <c r="A93" s="7" t="n">
        <v>88</v>
      </c>
      <c r="B93" s="8" t="n">
        <v>46110</v>
      </c>
      <c r="C93" s="7">
        <f>IF(B93="","미기재",TEXT(B93,"yyyy-mm"))</f>
        <v/>
      </c>
      <c r="D93" s="7" t="inlineStr">
        <is>
          <t>15:06</t>
        </is>
      </c>
      <c r="E93" s="9" t="inlineStr">
        <is>
          <t>Shout Karaoke</t>
        </is>
      </c>
      <c r="F93" s="9" t="inlineStr">
        <is>
          <t>Shout Karaoke</t>
        </is>
      </c>
      <c r="G93" s="9" t="inlineStr">
        <is>
          <t>5600 Yonge St, North York</t>
        </is>
      </c>
      <c r="H93" s="7" t="inlineStr">
        <is>
          <t>CAD</t>
        </is>
      </c>
      <c r="I93" s="10" t="n">
        <v>30</v>
      </c>
      <c r="J93" s="10" t="n">
        <v>0</v>
      </c>
      <c r="K93" s="10" t="n"/>
      <c r="L93" s="10" t="n"/>
      <c r="M93" s="10" t="n">
        <v>30</v>
      </c>
      <c r="N93" s="9" t="inlineStr">
        <is>
          <t>Visa</t>
        </is>
      </c>
      <c r="O93" s="7" t="inlineStr">
        <is>
          <t>Y</t>
        </is>
      </c>
      <c r="P93" s="9" t="inlineStr">
        <is>
          <t>세금 별도 표기 없음</t>
        </is>
      </c>
      <c r="Q93" s="9" t="inlineStr">
        <is>
          <t>IMG_5573.HEIC</t>
        </is>
      </c>
    </row>
    <row r="94">
      <c r="A94" s="7" t="n">
        <v>89</v>
      </c>
      <c r="B94" s="8" t="n">
        <v>46110</v>
      </c>
      <c r="C94" s="7">
        <f>IF(B94="","미기재",TEXT(B94,"yyyy-mm"))</f>
        <v/>
      </c>
      <c r="D94" s="7" t="inlineStr">
        <is>
          <t>18:30</t>
        </is>
      </c>
      <c r="E94" s="9" t="inlineStr">
        <is>
          <t>Jangteo Gukbap</t>
        </is>
      </c>
      <c r="F94" s="9" t="inlineStr">
        <is>
          <t>Jangteo Gukbap</t>
        </is>
      </c>
      <c r="G94" s="9" t="inlineStr">
        <is>
          <t>5433 Yonge St, North York</t>
        </is>
      </c>
      <c r="H94" s="7" t="inlineStr">
        <is>
          <t>CAD</t>
        </is>
      </c>
      <c r="I94" s="10" t="n">
        <v>75.8</v>
      </c>
      <c r="J94" s="10" t="n">
        <v>9.85</v>
      </c>
      <c r="K94" s="10" t="n"/>
      <c r="L94" s="10" t="n">
        <v>12.85</v>
      </c>
      <c r="M94" s="10" t="n">
        <v>98.5</v>
      </c>
      <c r="N94" s="9" t="inlineStr">
        <is>
          <t>Mastercard</t>
        </is>
      </c>
      <c r="O94" s="7" t="inlineStr">
        <is>
          <t>Y</t>
        </is>
      </c>
      <c r="P94" s="9" t="n"/>
      <c r="Q94" s="9" t="inlineStr">
        <is>
          <t>IMG_5569.HEIC</t>
        </is>
      </c>
    </row>
    <row r="95">
      <c r="A95" s="7" t="n">
        <v>90</v>
      </c>
      <c r="B95" s="8" t="n">
        <v>46110</v>
      </c>
      <c r="C95" s="7">
        <f>IF(B95="","미기재",TEXT(B95,"yyyy-mm"))</f>
        <v/>
      </c>
      <c r="D95" s="7" t="inlineStr">
        <is>
          <t>19:08</t>
        </is>
      </c>
      <c r="E95" s="9" t="inlineStr">
        <is>
          <t>McDonald's (#1320)</t>
        </is>
      </c>
      <c r="F95" s="9" t="inlineStr">
        <is>
          <t>McDonald's</t>
        </is>
      </c>
      <c r="G95" s="9" t="inlineStr">
        <is>
          <t>주소 미기재</t>
        </is>
      </c>
      <c r="H95" s="7" t="inlineStr">
        <is>
          <t>CAD</t>
        </is>
      </c>
      <c r="I95" s="10" t="n">
        <v>8.16</v>
      </c>
      <c r="J95" s="10" t="n">
        <v>1.06</v>
      </c>
      <c r="K95" s="10" t="n"/>
      <c r="L95" s="10" t="n"/>
      <c r="M95" s="10" t="n">
        <v>9.220000000000001</v>
      </c>
      <c r="N95" s="9" t="inlineStr">
        <is>
          <t>Mastercard</t>
        </is>
      </c>
      <c r="O95" s="7" t="inlineStr">
        <is>
          <t>Y</t>
        </is>
      </c>
      <c r="P95" s="9" t="n"/>
      <c r="Q95" s="9" t="inlineStr">
        <is>
          <t>IMG_5571.HEIC</t>
        </is>
      </c>
    </row>
    <row r="96">
      <c r="A96" s="7" t="n">
        <v>91</v>
      </c>
      <c r="B96" s="8" t="n">
        <v>46118</v>
      </c>
      <c r="C96" s="7">
        <f>IF(B96="","미기재",TEXT(B96,"yyyy-mm"))</f>
        <v/>
      </c>
      <c r="D96" s="7" t="inlineStr">
        <is>
          <t>08:55</t>
        </is>
      </c>
      <c r="E96" s="9" t="inlineStr">
        <is>
          <t>Costco Gas (#1655)</t>
        </is>
      </c>
      <c r="F96" s="9" t="inlineStr">
        <is>
          <t>Costco 주유소</t>
        </is>
      </c>
      <c r="G96" s="9" t="inlineStr">
        <is>
          <t>2260 Islington Ave, Etobicoke</t>
        </is>
      </c>
      <c r="H96" s="7" t="inlineStr">
        <is>
          <t>CAD</t>
        </is>
      </c>
      <c r="I96" s="10" t="n">
        <v>58.44</v>
      </c>
      <c r="J96" s="10" t="n">
        <v>7.6</v>
      </c>
      <c r="K96" s="10" t="n"/>
      <c r="L96" s="10" t="n"/>
      <c r="M96" s="10" t="n">
        <v>66.04000000000001</v>
      </c>
      <c r="N96" s="9" t="inlineStr">
        <is>
          <t>Mastercard</t>
        </is>
      </c>
      <c r="O96" s="7" t="inlineStr">
        <is>
          <t>Y</t>
        </is>
      </c>
      <c r="P96" s="9" t="inlineStr">
        <is>
          <t>주유 36.709L (HST 포함가)</t>
        </is>
      </c>
      <c r="Q96" s="9" t="inlineStr">
        <is>
          <t>IMG_5417.HEIC</t>
        </is>
      </c>
    </row>
    <row r="97">
      <c r="A97" s="7" t="n">
        <v>92</v>
      </c>
      <c r="B97" s="8" t="n">
        <v>46118</v>
      </c>
      <c r="C97" s="7">
        <f>IF(B97="","미기재",TEXT(B97,"yyyy-mm"))</f>
        <v/>
      </c>
      <c r="D97" s="7" t="inlineStr">
        <is>
          <t>17:11</t>
        </is>
      </c>
      <c r="E97" s="9" t="inlineStr">
        <is>
          <t>Domino's Pizza</t>
        </is>
      </c>
      <c r="F97" s="9" t="inlineStr">
        <is>
          <t>Domino's Pizza</t>
        </is>
      </c>
      <c r="G97" s="9" t="inlineStr">
        <is>
          <t>3828A Bloor St W, Etobicoke</t>
        </is>
      </c>
      <c r="H97" s="7" t="inlineStr">
        <is>
          <t>CAD</t>
        </is>
      </c>
      <c r="I97" s="10" t="n"/>
      <c r="J97" s="10" t="n"/>
      <c r="K97" s="10" t="n"/>
      <c r="L97" s="10" t="n"/>
      <c r="M97" s="10" t="n">
        <v>33.88</v>
      </c>
      <c r="N97" s="9" t="inlineStr">
        <is>
          <t>Visa</t>
        </is>
      </c>
      <c r="O97" s="7" t="inlineStr">
        <is>
          <t>Y</t>
        </is>
      </c>
      <c r="P97" s="9" t="inlineStr">
        <is>
          <t>카드전표만(세금 내역 없음)</t>
        </is>
      </c>
      <c r="Q97" s="9" t="inlineStr">
        <is>
          <t>IMG_5365.HEIC</t>
        </is>
      </c>
    </row>
    <row r="98">
      <c r="A98" s="7" t="n">
        <v>93</v>
      </c>
      <c r="B98" s="8" t="n">
        <v>46119</v>
      </c>
      <c r="C98" s="7">
        <f>IF(B98="","미기재",TEXT(B98,"yyyy-mm"))</f>
        <v/>
      </c>
      <c r="D98" s="7" t="n"/>
      <c r="E98" s="9" t="inlineStr">
        <is>
          <t>MPAC Propertyline</t>
        </is>
      </c>
      <c r="F98" s="9" t="inlineStr">
        <is>
          <t>MPAC Propertyline</t>
        </is>
      </c>
      <c r="G98" s="9" t="inlineStr">
        <is>
          <t>온라인 (Pickering)</t>
        </is>
      </c>
      <c r="H98" s="7" t="inlineStr">
        <is>
          <t>CAD</t>
        </is>
      </c>
      <c r="I98" s="10" t="n">
        <v>30</v>
      </c>
      <c r="J98" s="10" t="n">
        <v>3.9</v>
      </c>
      <c r="K98" s="10" t="n"/>
      <c r="L98" s="10" t="n"/>
      <c r="M98" s="10" t="n">
        <v>33.9</v>
      </c>
      <c r="N98" s="9" t="n"/>
      <c r="O98" s="7" t="inlineStr">
        <is>
          <t>Y</t>
        </is>
      </c>
      <c r="P98" s="9" t="inlineStr">
        <is>
          <t>AVM 주거용 리포트 - 42 Jondan Cres, Thornhill</t>
        </is>
      </c>
      <c r="Q98" s="9" t="inlineStr">
        <is>
          <t>IMG_5635.HEIC</t>
        </is>
      </c>
    </row>
    <row r="99">
      <c r="A99" s="7" t="n">
        <v>94</v>
      </c>
      <c r="B99" s="8" t="n">
        <v>46122</v>
      </c>
      <c r="C99" s="7">
        <f>IF(B99="","미기재",TEXT(B99,"yyyy-mm"))</f>
        <v/>
      </c>
      <c r="D99" s="7" t="inlineStr">
        <is>
          <t>17:43</t>
        </is>
      </c>
      <c r="E99" s="9" t="inlineStr">
        <is>
          <t>IKEA Etobicoke</t>
        </is>
      </c>
      <c r="F99" s="9" t="inlineStr">
        <is>
          <t>IKEA Etobicoke</t>
        </is>
      </c>
      <c r="G99" s="9" t="inlineStr">
        <is>
          <t>1475 The Queensway, Toronto</t>
        </is>
      </c>
      <c r="H99" s="7" t="inlineStr">
        <is>
          <t>CAD</t>
        </is>
      </c>
      <c r="I99" s="10" t="n">
        <v>34.96</v>
      </c>
      <c r="J99" s="10" t="n">
        <v>4.54</v>
      </c>
      <c r="K99" s="10" t="n"/>
      <c r="L99" s="10" t="n"/>
      <c r="M99" s="10" t="n">
        <v>39.5</v>
      </c>
      <c r="N99" s="9" t="inlineStr">
        <is>
          <t>Mastercard</t>
        </is>
      </c>
      <c r="O99" s="7" t="inlineStr">
        <is>
          <t>Y</t>
        </is>
      </c>
      <c r="P99" s="9" t="n"/>
      <c r="Q99" s="9" t="inlineStr">
        <is>
          <t>IMG_5572.HEIC</t>
        </is>
      </c>
    </row>
    <row r="100">
      <c r="A100" s="7" t="n">
        <v>95</v>
      </c>
      <c r="B100" s="8" t="n">
        <v>46125</v>
      </c>
      <c r="C100" s="7">
        <f>IF(B100="","미기재",TEXT(B100,"yyyy-mm"))</f>
        <v/>
      </c>
      <c r="D100" s="7" t="inlineStr">
        <is>
          <t>10:36</t>
        </is>
      </c>
      <c r="E100" s="9" t="inlineStr">
        <is>
          <t>Kin Kin Bakery</t>
        </is>
      </c>
      <c r="F100" s="9" t="inlineStr">
        <is>
          <t>Kin Kin Bakery</t>
        </is>
      </c>
      <c r="G100" s="9" t="inlineStr">
        <is>
          <t>4841 Yonge St, Toronto</t>
        </is>
      </c>
      <c r="H100" s="7" t="inlineStr">
        <is>
          <t>CAD</t>
        </is>
      </c>
      <c r="I100" s="10" t="n"/>
      <c r="J100" s="10" t="n"/>
      <c r="K100" s="10" t="n"/>
      <c r="L100" s="10" t="n"/>
      <c r="M100" s="10" t="n">
        <v>12.99</v>
      </c>
      <c r="N100" s="9" t="inlineStr">
        <is>
          <t>Mastercard</t>
        </is>
      </c>
      <c r="O100" s="7" t="inlineStr">
        <is>
          <t>Y</t>
        </is>
      </c>
      <c r="P100" s="9" t="inlineStr">
        <is>
          <t>카드전표만(세금 내역 없음)</t>
        </is>
      </c>
      <c r="Q100" s="9" t="inlineStr">
        <is>
          <t>IMG_5574.HEIC</t>
        </is>
      </c>
    </row>
    <row r="101">
      <c r="A101" s="7" t="n">
        <v>96</v>
      </c>
      <c r="B101" s="8" t="n">
        <v>46131</v>
      </c>
      <c r="C101" s="7">
        <f>IF(B101="","미기재",TEXT(B101,"yyyy-mm"))</f>
        <v/>
      </c>
      <c r="D101" s="7" t="n"/>
      <c r="E101" s="9" t="inlineStr">
        <is>
          <t>Anthropic (Claude Pro 월 구독)</t>
        </is>
      </c>
      <c r="F101" s="9" t="inlineStr">
        <is>
          <t>Anthropic (Claude)</t>
        </is>
      </c>
      <c r="G101" s="9" t="inlineStr">
        <is>
          <t>온라인</t>
        </is>
      </c>
      <c r="H101" s="7" t="inlineStr">
        <is>
          <t>CAD</t>
        </is>
      </c>
      <c r="I101" s="10" t="n">
        <v>28</v>
      </c>
      <c r="J101" s="10" t="n">
        <v>3.64</v>
      </c>
      <c r="K101" s="10" t="n"/>
      <c r="L101" s="10" t="n"/>
      <c r="M101" s="10" t="n">
        <v>31.64</v>
      </c>
      <c r="N101" s="9" t="n"/>
      <c r="O101" s="7" t="inlineStr">
        <is>
          <t>Y</t>
        </is>
      </c>
      <c r="P101" s="9" t="inlineStr">
        <is>
          <t>인보이스(4/19~5/19)</t>
        </is>
      </c>
      <c r="Q101" s="9" t="inlineStr">
        <is>
          <t>IMG_5637.HEIC</t>
        </is>
      </c>
    </row>
    <row r="102">
      <c r="A102" s="7" t="n">
        <v>97</v>
      </c>
      <c r="B102" s="8" t="n">
        <v>46135</v>
      </c>
      <c r="C102" s="7">
        <f>IF(B102="","미기재",TEXT(B102,"yyyy-mm"))</f>
        <v/>
      </c>
      <c r="D102" s="7" t="inlineStr">
        <is>
          <t>08:37</t>
        </is>
      </c>
      <c r="E102" s="9" t="inlineStr">
        <is>
          <t>Home Depot</t>
        </is>
      </c>
      <c r="F102" s="9" t="inlineStr">
        <is>
          <t>Home Depot</t>
        </is>
      </c>
      <c r="G102" s="9" t="inlineStr">
        <is>
          <t>1983 Kipling Ave, Etobicoke</t>
        </is>
      </c>
      <c r="H102" s="7" t="inlineStr">
        <is>
          <t>CAD</t>
        </is>
      </c>
      <c r="I102" s="10" t="n">
        <v>6.58</v>
      </c>
      <c r="J102" s="10" t="n">
        <v>0.86</v>
      </c>
      <c r="K102" s="10" t="n"/>
      <c r="L102" s="10" t="n"/>
      <c r="M102" s="10" t="n">
        <v>7.44</v>
      </c>
      <c r="N102" s="9" t="inlineStr">
        <is>
          <t>Mastercard</t>
        </is>
      </c>
      <c r="O102" s="7" t="inlineStr">
        <is>
          <t>Y</t>
        </is>
      </c>
      <c r="P102" s="9" t="n"/>
      <c r="Q102" s="9" t="inlineStr">
        <is>
          <t>IMG_5582.HEIC</t>
        </is>
      </c>
    </row>
    <row r="103">
      <c r="A103" s="7" t="n">
        <v>98</v>
      </c>
      <c r="B103" s="8" t="n">
        <v>46135</v>
      </c>
      <c r="C103" s="7">
        <f>IF(B103="","미기재",TEXT(B103,"yyyy-mm"))</f>
        <v/>
      </c>
      <c r="D103" s="7" t="inlineStr">
        <is>
          <t>08:54</t>
        </is>
      </c>
      <c r="E103" s="9" t="inlineStr">
        <is>
          <t>Home Depot</t>
        </is>
      </c>
      <c r="F103" s="9" t="inlineStr">
        <is>
          <t>Home Depot</t>
        </is>
      </c>
      <c r="G103" s="9" t="inlineStr">
        <is>
          <t>1983 Kipling Ave, Etobicoke</t>
        </is>
      </c>
      <c r="H103" s="7" t="inlineStr">
        <is>
          <t>CAD</t>
        </is>
      </c>
      <c r="I103" s="10" t="n">
        <v>70.38</v>
      </c>
      <c r="J103" s="10" t="n">
        <v>9.15</v>
      </c>
      <c r="K103" s="10" t="n"/>
      <c r="L103" s="10" t="n"/>
      <c r="M103" s="10" t="n">
        <v>79.53</v>
      </c>
      <c r="N103" s="9" t="inlineStr">
        <is>
          <t>Mastercard</t>
        </is>
      </c>
      <c r="O103" s="7" t="inlineStr">
        <is>
          <t>Y</t>
        </is>
      </c>
      <c r="P103" s="9" t="inlineStr">
        <is>
          <t>흙(Top Soil, Lawn Soil)</t>
        </is>
      </c>
      <c r="Q103" s="9" t="inlineStr">
        <is>
          <t>IMG_5583.HEIC</t>
        </is>
      </c>
    </row>
    <row r="104">
      <c r="A104" s="7" t="n">
        <v>99</v>
      </c>
      <c r="B104" s="8" t="n">
        <v>46137</v>
      </c>
      <c r="C104" s="7">
        <f>IF(B104="","미기재",TEXT(B104,"yyyy-mm"))</f>
        <v/>
      </c>
      <c r="D104" s="7" t="inlineStr">
        <is>
          <t>11:46</t>
        </is>
      </c>
      <c r="E104" s="9" t="inlineStr">
        <is>
          <t>A&amp;W (Toronto Premium Outlets) - 추정</t>
        </is>
      </c>
      <c r="F104" s="9" t="inlineStr">
        <is>
          <t>A&amp;W (Toronto Premium Outlets) - 추정</t>
        </is>
      </c>
      <c r="G104" s="9" t="inlineStr">
        <is>
          <t>13850 Steeles Ave W, Halton Hills</t>
        </is>
      </c>
      <c r="H104" s="7" t="inlineStr">
        <is>
          <t>CAD</t>
        </is>
      </c>
      <c r="I104" s="10" t="n">
        <v>21.07</v>
      </c>
      <c r="J104" s="10" t="n">
        <v>2.74</v>
      </c>
      <c r="K104" s="10" t="n"/>
      <c r="L104" s="10" t="n"/>
      <c r="M104" s="10" t="n">
        <v>23.81</v>
      </c>
      <c r="N104" s="9" t="inlineStr">
        <is>
          <t>Credit</t>
        </is>
      </c>
      <c r="O104" s="7" t="inlineStr">
        <is>
          <t>Y</t>
        </is>
      </c>
      <c r="P104" s="9" t="inlineStr">
        <is>
          <t>상호 미기재(Mozza 버거로 A&amp;W 추정)</t>
        </is>
      </c>
      <c r="Q104" s="9" t="inlineStr">
        <is>
          <t>IMG_5473.HEIC</t>
        </is>
      </c>
    </row>
    <row r="105">
      <c r="A105" s="7" t="n">
        <v>100</v>
      </c>
      <c r="B105" s="8" t="n">
        <v>46137</v>
      </c>
      <c r="C105" s="7">
        <f>IF(B105="","미기재",TEXT(B105,"yyyy-mm"))</f>
        <v/>
      </c>
      <c r="D105" s="7" t="inlineStr">
        <is>
          <t>13:55</t>
        </is>
      </c>
      <c r="E105" s="9" t="inlineStr">
        <is>
          <t>Costco Gas (#1655)</t>
        </is>
      </c>
      <c r="F105" s="9" t="inlineStr">
        <is>
          <t>Costco 주유소</t>
        </is>
      </c>
      <c r="G105" s="9" t="inlineStr">
        <is>
          <t>2260 Islington Ave, Etobicoke</t>
        </is>
      </c>
      <c r="H105" s="7" t="inlineStr">
        <is>
          <t>CAD</t>
        </is>
      </c>
      <c r="I105" s="10" t="n">
        <v>72.79000000000001</v>
      </c>
      <c r="J105" s="10" t="n">
        <v>9.460000000000001</v>
      </c>
      <c r="K105" s="10" t="n"/>
      <c r="L105" s="10" t="n"/>
      <c r="M105" s="10" t="n">
        <v>82.25</v>
      </c>
      <c r="N105" s="9" t="inlineStr">
        <is>
          <t>Mastercard</t>
        </is>
      </c>
      <c r="O105" s="7" t="inlineStr">
        <is>
          <t>Y</t>
        </is>
      </c>
      <c r="P105" s="9" t="inlineStr">
        <is>
          <t>주유 (HST 포함가)</t>
        </is>
      </c>
      <c r="Q105" s="9" t="inlineStr">
        <is>
          <t>IMG_5418.HEIC</t>
        </is>
      </c>
    </row>
    <row r="106">
      <c r="A106" s="7" t="n">
        <v>101</v>
      </c>
      <c r="B106" s="8" t="n">
        <v>46138</v>
      </c>
      <c r="C106" s="7">
        <f>IF(B106="","미기재",TEXT(B106,"yyyy-mm"))</f>
        <v/>
      </c>
      <c r="D106" s="7" t="inlineStr">
        <is>
          <t>14:16</t>
        </is>
      </c>
      <c r="E106" s="9" t="inlineStr">
        <is>
          <t>Home Depot</t>
        </is>
      </c>
      <c r="F106" s="9" t="inlineStr">
        <is>
          <t>Home Depot</t>
        </is>
      </c>
      <c r="G106" s="9" t="inlineStr">
        <is>
          <t>1983 Kipling Ave, Etobicoke</t>
        </is>
      </c>
      <c r="H106" s="7" t="inlineStr">
        <is>
          <t>CAD</t>
        </is>
      </c>
      <c r="I106" s="10" t="n">
        <v>10.46</v>
      </c>
      <c r="J106" s="10" t="n">
        <v>1.36</v>
      </c>
      <c r="K106" s="10" t="n"/>
      <c r="L106" s="10" t="n"/>
      <c r="M106" s="10" t="n">
        <v>11.82</v>
      </c>
      <c r="N106" s="9" t="inlineStr">
        <is>
          <t>Mastercard</t>
        </is>
      </c>
      <c r="O106" s="7" t="inlineStr">
        <is>
          <t>Y</t>
        </is>
      </c>
      <c r="P106" s="9" t="n"/>
      <c r="Q106" s="9" t="inlineStr">
        <is>
          <t>IMG_5578.HEIC</t>
        </is>
      </c>
    </row>
    <row r="107">
      <c r="A107" s="7" t="n">
        <v>102</v>
      </c>
      <c r="B107" s="8" t="n">
        <v>46139</v>
      </c>
      <c r="C107" s="7">
        <f>IF(B107="","미기재",TEXT(B107,"yyyy-mm"))</f>
        <v/>
      </c>
      <c r="D107" s="7" t="inlineStr">
        <is>
          <t>08:25</t>
        </is>
      </c>
      <c r="E107" s="9" t="inlineStr">
        <is>
          <t>Home Depot</t>
        </is>
      </c>
      <c r="F107" s="9" t="inlineStr">
        <is>
          <t>Home Depot</t>
        </is>
      </c>
      <c r="G107" s="9" t="inlineStr">
        <is>
          <t>1983 Kipling Ave, Etobicoke</t>
        </is>
      </c>
      <c r="H107" s="7" t="inlineStr">
        <is>
          <t>CAD</t>
        </is>
      </c>
      <c r="I107" s="10" t="n">
        <v>14.44</v>
      </c>
      <c r="J107" s="10" t="n">
        <v>1.88</v>
      </c>
      <c r="K107" s="10" t="n"/>
      <c r="L107" s="10" t="n"/>
      <c r="M107" s="10" t="n">
        <v>16.32</v>
      </c>
      <c r="N107" s="9" t="inlineStr">
        <is>
          <t>Mastercard</t>
        </is>
      </c>
      <c r="O107" s="7" t="inlineStr">
        <is>
          <t>Y</t>
        </is>
      </c>
      <c r="P107" s="9" t="n"/>
      <c r="Q107" s="9" t="inlineStr">
        <is>
          <t>IMG_5577.HEIC</t>
        </is>
      </c>
    </row>
    <row r="108">
      <c r="A108" s="7" t="n">
        <v>103</v>
      </c>
      <c r="B108" s="8" t="n">
        <v>46142</v>
      </c>
      <c r="C108" s="7">
        <f>IF(B108="","미기재",TEXT(B108,"yyyy-mm"))</f>
        <v/>
      </c>
      <c r="D108" s="7" t="inlineStr">
        <is>
          <t>15:06</t>
        </is>
      </c>
      <c r="E108" s="9" t="inlineStr">
        <is>
          <t>Shell</t>
        </is>
      </c>
      <c r="F108" s="9" t="inlineStr">
        <is>
          <t>Shell</t>
        </is>
      </c>
      <c r="G108" s="9" t="inlineStr">
        <is>
          <t>6990 Rexwood Rd, Mississauga</t>
        </is>
      </c>
      <c r="H108" s="7" t="inlineStr">
        <is>
          <t>CAD</t>
        </is>
      </c>
      <c r="I108" s="10" t="n">
        <v>35.4</v>
      </c>
      <c r="J108" s="10" t="n">
        <v>4.6</v>
      </c>
      <c r="K108" s="10" t="n"/>
      <c r="L108" s="10" t="n"/>
      <c r="M108" s="10" t="n">
        <v>40</v>
      </c>
      <c r="N108" s="9" t="inlineStr">
        <is>
          <t>Mastercard</t>
        </is>
      </c>
      <c r="O108" s="7" t="inlineStr">
        <is>
          <t>Y</t>
        </is>
      </c>
      <c r="P108" s="9" t="inlineStr">
        <is>
          <t>주유 선결제 (HST 포함가)</t>
        </is>
      </c>
      <c r="Q108" s="9" t="inlineStr">
        <is>
          <t>IMG_5587.HEIC</t>
        </is>
      </c>
    </row>
    <row r="109">
      <c r="A109" s="7" t="n">
        <v>104</v>
      </c>
      <c r="B109" s="8" t="n">
        <v>46144</v>
      </c>
      <c r="C109" s="7">
        <f>IF(B109="","미기재",TEXT(B109,"yyyy-mm"))</f>
        <v/>
      </c>
      <c r="D109" s="7" t="inlineStr">
        <is>
          <t>12:27</t>
        </is>
      </c>
      <c r="E109" s="9" t="inlineStr">
        <is>
          <t>Tim Hortons</t>
        </is>
      </c>
      <c r="F109" s="9" t="inlineStr">
        <is>
          <t>Tim Hortons</t>
        </is>
      </c>
      <c r="G109" s="9" t="inlineStr">
        <is>
          <t>680 Sheppard Ave W, Toronto</t>
        </is>
      </c>
      <c r="H109" s="7" t="inlineStr">
        <is>
          <t>CAD</t>
        </is>
      </c>
      <c r="I109" s="10" t="n">
        <v>9.07</v>
      </c>
      <c r="J109" s="10" t="n">
        <v>1.18</v>
      </c>
      <c r="K109" s="10" t="n"/>
      <c r="L109" s="10" t="n"/>
      <c r="M109" s="10" t="n">
        <v>10.25</v>
      </c>
      <c r="N109" s="9" t="inlineStr">
        <is>
          <t>Mastercard</t>
        </is>
      </c>
      <c r="O109" s="7" t="inlineStr">
        <is>
          <t>Y</t>
        </is>
      </c>
      <c r="P109" s="9" t="n"/>
      <c r="Q109" s="9" t="inlineStr">
        <is>
          <t>IMG_5561.HEIC</t>
        </is>
      </c>
    </row>
    <row r="110">
      <c r="A110" s="7" t="n">
        <v>105</v>
      </c>
      <c r="B110" s="8" t="n">
        <v>46145</v>
      </c>
      <c r="C110" s="7">
        <f>IF(B110="","미기재",TEXT(B110,"yyyy-mm"))</f>
        <v/>
      </c>
      <c r="D110" s="7" t="inlineStr">
        <is>
          <t>17:32</t>
        </is>
      </c>
      <c r="E110" s="9" t="inlineStr">
        <is>
          <t>Kin Kin Bakery</t>
        </is>
      </c>
      <c r="F110" s="9" t="inlineStr">
        <is>
          <t>Kin Kin Bakery</t>
        </is>
      </c>
      <c r="G110" s="9" t="inlineStr">
        <is>
          <t>4841 Yonge St, Toronto</t>
        </is>
      </c>
      <c r="H110" s="7" t="inlineStr">
        <is>
          <t>CAD</t>
        </is>
      </c>
      <c r="I110" s="10" t="n"/>
      <c r="J110" s="10" t="n"/>
      <c r="K110" s="10" t="n"/>
      <c r="L110" s="10" t="n"/>
      <c r="M110" s="10" t="n">
        <v>13.38</v>
      </c>
      <c r="N110" s="9" t="inlineStr">
        <is>
          <t>Interac</t>
        </is>
      </c>
      <c r="O110" s="7" t="inlineStr">
        <is>
          <t>Y</t>
        </is>
      </c>
      <c r="P110" s="9" t="inlineStr">
        <is>
          <t>카드전표만(세금 내역 없음)</t>
        </is>
      </c>
      <c r="Q110" s="9" t="inlineStr">
        <is>
          <t>IMG_5560.HEIC</t>
        </is>
      </c>
    </row>
    <row r="111">
      <c r="A111" s="7" t="n">
        <v>106</v>
      </c>
      <c r="B111" s="8" t="n">
        <v>46148</v>
      </c>
      <c r="C111" s="7">
        <f>IF(B111="","미기재",TEXT(B111,"yyyy-mm"))</f>
        <v/>
      </c>
      <c r="D111" s="7" t="inlineStr">
        <is>
          <t>20:13</t>
        </is>
      </c>
      <c r="E111" s="9" t="inlineStr">
        <is>
          <t>Costco (#547 Vaughan)</t>
        </is>
      </c>
      <c r="F111" s="9" t="inlineStr">
        <is>
          <t>Costco 매장</t>
        </is>
      </c>
      <c r="G111" s="9" t="inlineStr">
        <is>
          <t>71 Colossus Dr, Vaughan</t>
        </is>
      </c>
      <c r="H111" s="7" t="inlineStr">
        <is>
          <t>CAD</t>
        </is>
      </c>
      <c r="I111" s="10" t="n">
        <v>44.98</v>
      </c>
      <c r="J111" s="10" t="n">
        <v>3.25</v>
      </c>
      <c r="K111" s="10" t="n"/>
      <c r="L111" s="10" t="n"/>
      <c r="M111" s="10" t="n">
        <v>48.23</v>
      </c>
      <c r="N111" s="9" t="inlineStr">
        <is>
          <t>Mastercard</t>
        </is>
      </c>
      <c r="O111" s="7" t="inlineStr">
        <is>
          <t>Y</t>
        </is>
      </c>
      <c r="P111" s="9" t="n"/>
      <c r="Q111" s="9" t="inlineStr">
        <is>
          <t>IMG_5562.HEIC</t>
        </is>
      </c>
    </row>
    <row r="112">
      <c r="A112" s="7" t="n">
        <v>107</v>
      </c>
      <c r="B112" s="8" t="n">
        <v>46150</v>
      </c>
      <c r="C112" s="7">
        <f>IF(B112="","미기재",TEXT(B112,"yyyy-mm"))</f>
        <v/>
      </c>
      <c r="D112" s="7" t="inlineStr">
        <is>
          <t>09:53</t>
        </is>
      </c>
      <c r="E112" s="9" t="inlineStr">
        <is>
          <t>Esso Circle K</t>
        </is>
      </c>
      <c r="F112" s="9" t="inlineStr">
        <is>
          <t>Esso</t>
        </is>
      </c>
      <c r="G112" s="9" t="inlineStr">
        <is>
          <t>145 Clark Blvd, Brampton</t>
        </is>
      </c>
      <c r="H112" s="7" t="inlineStr">
        <is>
          <t>CAD</t>
        </is>
      </c>
      <c r="I112" s="10" t="n">
        <v>44.25</v>
      </c>
      <c r="J112" s="10" t="n">
        <v>5.75</v>
      </c>
      <c r="K112" s="10" t="n"/>
      <c r="L112" s="10" t="n"/>
      <c r="M112" s="10" t="n">
        <v>50</v>
      </c>
      <c r="N112" s="9" t="inlineStr">
        <is>
          <t>Mastercard (Fleet)</t>
        </is>
      </c>
      <c r="O112" s="7" t="inlineStr">
        <is>
          <t>Y</t>
        </is>
      </c>
      <c r="P112" s="9" t="inlineStr">
        <is>
          <t>주유 27.190L 선결제 (HST 포함가, GST 2.21+HST 3.54)</t>
        </is>
      </c>
      <c r="Q112" s="9" t="inlineStr">
        <is>
          <t>IMG_5584.HEIC</t>
        </is>
      </c>
    </row>
    <row r="113">
      <c r="A113" s="7" t="n">
        <v>108</v>
      </c>
      <c r="B113" s="8" t="n">
        <v>46150</v>
      </c>
      <c r="C113" s="7">
        <f>IF(B113="","미기재",TEXT(B113,"yyyy-mm"))</f>
        <v/>
      </c>
      <c r="D113" s="7" t="inlineStr">
        <is>
          <t>19:13</t>
        </is>
      </c>
      <c r="E113" s="9" t="inlineStr">
        <is>
          <t>Tim Hortons</t>
        </is>
      </c>
      <c r="F113" s="9" t="inlineStr">
        <is>
          <t>Tim Hortons</t>
        </is>
      </c>
      <c r="G113" s="9" t="inlineStr">
        <is>
          <t>415 The Westway, Etobicoke</t>
        </is>
      </c>
      <c r="H113" s="7" t="inlineStr">
        <is>
          <t>CAD</t>
        </is>
      </c>
      <c r="I113" s="10" t="n">
        <v>9.99</v>
      </c>
      <c r="J113" s="10" t="n">
        <v>0</v>
      </c>
      <c r="K113" s="10" t="n"/>
      <c r="L113" s="10" t="n"/>
      <c r="M113" s="10" t="n">
        <v>9.99</v>
      </c>
      <c r="N113" s="9" t="inlineStr">
        <is>
          <t>Tim 기프트카드</t>
        </is>
      </c>
      <c r="O113" s="7" t="inlineStr">
        <is>
          <t>Y</t>
        </is>
      </c>
      <c r="P113" s="9" t="n"/>
      <c r="Q113" s="9" t="inlineStr">
        <is>
          <t>IMG_5585.HEIC</t>
        </is>
      </c>
    </row>
    <row r="114">
      <c r="A114" s="7" t="n">
        <v>109</v>
      </c>
      <c r="B114" s="8" t="n">
        <v>46151</v>
      </c>
      <c r="C114" s="7">
        <f>IF(B114="","미기재",TEXT(B114,"yyyy-mm"))</f>
        <v/>
      </c>
      <c r="D114" s="7" t="inlineStr">
        <is>
          <t>08:52</t>
        </is>
      </c>
      <c r="E114" s="9" t="inlineStr">
        <is>
          <t>Costco Gas (#1655)</t>
        </is>
      </c>
      <c r="F114" s="9" t="inlineStr">
        <is>
          <t>Costco 주유소</t>
        </is>
      </c>
      <c r="G114" s="9" t="inlineStr">
        <is>
          <t>2260 Islington Ave, Etobicoke</t>
        </is>
      </c>
      <c r="H114" s="7" t="inlineStr">
        <is>
          <t>CAD</t>
        </is>
      </c>
      <c r="I114" s="10" t="n">
        <v>73.72</v>
      </c>
      <c r="J114" s="10" t="n">
        <v>9.58</v>
      </c>
      <c r="K114" s="10" t="n"/>
      <c r="L114" s="10" t="n"/>
      <c r="M114" s="10" t="n">
        <v>83.3</v>
      </c>
      <c r="N114" s="9" t="inlineStr">
        <is>
          <t>Mastercard</t>
        </is>
      </c>
      <c r="O114" s="7" t="inlineStr">
        <is>
          <t>Y</t>
        </is>
      </c>
      <c r="P114" s="9" t="inlineStr">
        <is>
          <t>주유 47.086L (HST 포함가)</t>
        </is>
      </c>
      <c r="Q114" s="9" t="inlineStr">
        <is>
          <t>IMG_5422.HEIC</t>
        </is>
      </c>
    </row>
    <row r="115">
      <c r="A115" s="7" t="n">
        <v>110</v>
      </c>
      <c r="B115" s="8" t="n">
        <v>46152</v>
      </c>
      <c r="C115" s="7">
        <f>IF(B115="","미기재",TEXT(B115,"yyyy-mm"))</f>
        <v/>
      </c>
      <c r="D115" s="7" t="inlineStr">
        <is>
          <t>18:05</t>
        </is>
      </c>
      <c r="E115" s="9" t="inlineStr">
        <is>
          <t>Jangteo Gukbap</t>
        </is>
      </c>
      <c r="F115" s="9" t="inlineStr">
        <is>
          <t>Jangteo Gukbap</t>
        </is>
      </c>
      <c r="G115" s="9" t="inlineStr">
        <is>
          <t>5433 Yonge St, North York</t>
        </is>
      </c>
      <c r="H115" s="7" t="inlineStr">
        <is>
          <t>CAD</t>
        </is>
      </c>
      <c r="I115" s="10" t="n">
        <v>75.8</v>
      </c>
      <c r="J115" s="10" t="n">
        <v>9.85</v>
      </c>
      <c r="K115" s="10" t="n"/>
      <c r="L115" s="10" t="n">
        <v>10</v>
      </c>
      <c r="M115" s="10" t="n">
        <v>95.65000000000001</v>
      </c>
      <c r="N115" s="9" t="inlineStr">
        <is>
          <t>Mastercard</t>
        </is>
      </c>
      <c r="O115" s="7" t="inlineStr">
        <is>
          <t>Y</t>
        </is>
      </c>
      <c r="P115" s="9" t="n"/>
      <c r="Q115" s="9" t="inlineStr">
        <is>
          <t>IMG_5558.HEIC</t>
        </is>
      </c>
    </row>
    <row r="116">
      <c r="A116" s="7" t="n">
        <v>111</v>
      </c>
      <c r="B116" s="8" t="n">
        <v>46153</v>
      </c>
      <c r="C116" s="7">
        <f>IF(B116="","미기재",TEXT(B116,"yyyy-mm"))</f>
        <v/>
      </c>
      <c r="D116" s="7" t="inlineStr">
        <is>
          <t>20:00</t>
        </is>
      </c>
      <c r="E116" s="9" t="inlineStr">
        <is>
          <t>Bao House (Yonge &amp; Wellesley)</t>
        </is>
      </c>
      <c r="F116" s="9" t="inlineStr">
        <is>
          <t>Bao House (Yonge &amp; Wellesley)</t>
        </is>
      </c>
      <c r="G116" s="9" t="inlineStr">
        <is>
          <t>592 Yonge St, Toronto</t>
        </is>
      </c>
      <c r="H116" s="7" t="inlineStr">
        <is>
          <t>CAD</t>
        </is>
      </c>
      <c r="I116" s="10" t="n">
        <v>28.47</v>
      </c>
      <c r="J116" s="10" t="n">
        <v>3.7</v>
      </c>
      <c r="K116" s="10" t="n"/>
      <c r="L116" s="10" t="n"/>
      <c r="M116" s="10" t="n">
        <v>32.17</v>
      </c>
      <c r="N116" s="9" t="n"/>
      <c r="O116" s="7" t="inlineStr">
        <is>
          <t>Y</t>
        </is>
      </c>
      <c r="P116" s="9" t="inlineStr">
        <is>
          <t>소계 29.97에서 5% 할인 -1.50 적용</t>
        </is>
      </c>
      <c r="Q116" s="9" t="inlineStr">
        <is>
          <t>IMG_5586.HEIC</t>
        </is>
      </c>
    </row>
    <row r="117">
      <c r="A117" s="7" t="n">
        <v>112</v>
      </c>
      <c r="B117" s="8" t="n">
        <v>46154</v>
      </c>
      <c r="C117" s="7">
        <f>IF(B117="","미기재",TEXT(B117,"yyyy-mm"))</f>
        <v/>
      </c>
      <c r="D117" s="7" t="inlineStr">
        <is>
          <t>14:25</t>
        </is>
      </c>
      <c r="E117" s="9" t="inlineStr">
        <is>
          <t>Costco (#1655)</t>
        </is>
      </c>
      <c r="F117" s="9" t="inlineStr">
        <is>
          <t>Costco 매장</t>
        </is>
      </c>
      <c r="G117" s="9" t="inlineStr">
        <is>
          <t>2260 Islington Ave, Etobicoke</t>
        </is>
      </c>
      <c r="H117" s="7" t="inlineStr">
        <is>
          <t>CAD</t>
        </is>
      </c>
      <c r="I117" s="10" t="n">
        <v>29.99</v>
      </c>
      <c r="J117" s="10" t="n">
        <v>3.9</v>
      </c>
      <c r="K117" s="10" t="n"/>
      <c r="L117" s="10" t="n"/>
      <c r="M117" s="10" t="n">
        <v>33.89</v>
      </c>
      <c r="N117" s="9" t="inlineStr">
        <is>
          <t>Mastercard</t>
        </is>
      </c>
      <c r="O117" s="7" t="inlineStr">
        <is>
          <t>Y</t>
        </is>
      </c>
      <c r="P117" s="9" t="inlineStr">
        <is>
          <t>Weed B Gon</t>
        </is>
      </c>
      <c r="Q117" s="9" t="inlineStr">
        <is>
          <t>IMG_5552.HEIC</t>
        </is>
      </c>
    </row>
    <row r="118">
      <c r="A118" s="7" t="n">
        <v>113</v>
      </c>
      <c r="B118" s="8" t="n">
        <v>46159</v>
      </c>
      <c r="C118" s="7">
        <f>IF(B118="","미기재",TEXT(B118,"yyyy-mm"))</f>
        <v/>
      </c>
      <c r="D118" s="7" t="inlineStr">
        <is>
          <t>19:52</t>
        </is>
      </c>
      <c r="E118" s="9" t="inlineStr">
        <is>
          <t>Tous les Jours (Elmhurst, 미국)</t>
        </is>
      </c>
      <c r="F118" s="9" t="inlineStr">
        <is>
          <t>Tous les Jours (Elmhurst, 미국)</t>
        </is>
      </c>
      <c r="G118" s="9" t="inlineStr">
        <is>
          <t>85-15 Queens Blvd, Elmhurst, NY, USA</t>
        </is>
      </c>
      <c r="H118" s="7" t="inlineStr">
        <is>
          <t>USD</t>
        </is>
      </c>
      <c r="I118" s="10" t="n">
        <v>28.5</v>
      </c>
      <c r="J118" s="10" t="n">
        <v>0</v>
      </c>
      <c r="K118" s="10" t="n">
        <v>1.13</v>
      </c>
      <c r="L118" s="10" t="n"/>
      <c r="M118" s="10" t="n">
        <v>29.63</v>
      </c>
      <c r="N118" s="9" t="inlineStr">
        <is>
          <t>Mastercard</t>
        </is>
      </c>
      <c r="O118" s="7" t="inlineStr">
        <is>
          <t>Y</t>
        </is>
      </c>
      <c r="P118" s="9" t="inlineStr">
        <is>
          <t>[USD] 미국 판매세(HST 아님)</t>
        </is>
      </c>
      <c r="Q118" s="9" t="inlineStr">
        <is>
          <t>IMG_5580.HEIC</t>
        </is>
      </c>
    </row>
    <row r="119">
      <c r="A119" s="7" t="n">
        <v>114</v>
      </c>
      <c r="B119" s="8" t="n">
        <v>46160</v>
      </c>
      <c r="C119" s="7">
        <f>IF(B119="","미기재",TEXT(B119,"yyyy-mm"))</f>
        <v/>
      </c>
      <c r="D119" s="7" t="inlineStr">
        <is>
          <t>06:39</t>
        </is>
      </c>
      <c r="E119" s="9" t="inlineStr">
        <is>
          <t>Dunkin' (LaGuardia 공항, 미국)</t>
        </is>
      </c>
      <c r="F119" s="9" t="inlineStr">
        <is>
          <t>Dunkin' (LaGuardia 공항, 미국)</t>
        </is>
      </c>
      <c r="G119" s="9" t="inlineStr">
        <is>
          <t>LaGuardia Airport, New York, USA</t>
        </is>
      </c>
      <c r="H119" s="7" t="inlineStr">
        <is>
          <t>USD</t>
        </is>
      </c>
      <c r="I119" s="10" t="n">
        <v>17.25</v>
      </c>
      <c r="J119" s="10" t="n">
        <v>0</v>
      </c>
      <c r="K119" s="10" t="n">
        <v>1.53</v>
      </c>
      <c r="L119" s="10" t="n"/>
      <c r="M119" s="10" t="n">
        <v>18.8</v>
      </c>
      <c r="N119" s="9" t="inlineStr">
        <is>
          <t>Cash</t>
        </is>
      </c>
      <c r="O119" s="7" t="inlineStr">
        <is>
          <t>Y</t>
        </is>
      </c>
      <c r="P119" s="9" t="inlineStr">
        <is>
          <t>[USD] 미국 판매세(HST 아님) / 소계 16.75 + 3% 직원복지 추가금 0.50, 반올림 +0.02</t>
        </is>
      </c>
      <c r="Q119" s="9" t="inlineStr">
        <is>
          <t>IMG_5579.HEIC</t>
        </is>
      </c>
    </row>
    <row r="120">
      <c r="A120" s="7" t="n">
        <v>115</v>
      </c>
      <c r="B120" s="8" t="n">
        <v>46161</v>
      </c>
      <c r="C120" s="7">
        <f>IF(B120="","미기재",TEXT(B120,"yyyy-mm"))</f>
        <v/>
      </c>
      <c r="D120" s="7" t="n"/>
      <c r="E120" s="9" t="inlineStr">
        <is>
          <t>Costco Pharmacy</t>
        </is>
      </c>
      <c r="F120" s="9" t="inlineStr">
        <is>
          <t>Costco 약국</t>
        </is>
      </c>
      <c r="G120" s="9" t="inlineStr">
        <is>
          <t>2260 Islington Ave, Etobicoke</t>
        </is>
      </c>
      <c r="H120" s="7" t="inlineStr">
        <is>
          <t>CAD</t>
        </is>
      </c>
      <c r="I120" s="10" t="n">
        <v>8.279999999999999</v>
      </c>
      <c r="J120" s="10" t="n">
        <v>0</v>
      </c>
      <c r="K120" s="10" t="n"/>
      <c r="L120" s="10" t="n"/>
      <c r="M120" s="10" t="n">
        <v>8.279999999999999</v>
      </c>
      <c r="N120" s="9" t="n"/>
      <c r="O120" s="7" t="inlineStr">
        <is>
          <t>Y</t>
        </is>
      </c>
      <c r="P120" s="9" t="inlineStr">
        <is>
          <t>처방약(비과세) / 총 17.13 중 보험(Green Shield) 8.85 제외 본인부담</t>
        </is>
      </c>
      <c r="Q120" s="9" t="inlineStr">
        <is>
          <t>IMG_5588.HEIC</t>
        </is>
      </c>
    </row>
    <row r="121">
      <c r="A121" s="7" t="n">
        <v>116</v>
      </c>
      <c r="B121" s="8" t="n">
        <v>46161</v>
      </c>
      <c r="C121" s="7">
        <f>IF(B121="","미기재",TEXT(B121,"yyyy-mm"))</f>
        <v/>
      </c>
      <c r="D121" s="7" t="inlineStr">
        <is>
          <t>12:21</t>
        </is>
      </c>
      <c r="E121" s="9" t="inlineStr">
        <is>
          <t>Westway Kitchen Food Fair</t>
        </is>
      </c>
      <c r="F121" s="9" t="inlineStr">
        <is>
          <t>Westway Kitchen Food Fair</t>
        </is>
      </c>
      <c r="G121" s="9" t="inlineStr">
        <is>
          <t>415 The Westway, Etobicoke</t>
        </is>
      </c>
      <c r="H121" s="7" t="inlineStr">
        <is>
          <t>CAD</t>
        </is>
      </c>
      <c r="I121" s="10" t="n">
        <v>3.99</v>
      </c>
      <c r="J121" s="10" t="n">
        <v>0.52</v>
      </c>
      <c r="K121" s="10" t="n"/>
      <c r="L121" s="10" t="n"/>
      <c r="M121" s="10" t="n">
        <v>4.51</v>
      </c>
      <c r="N121" s="9" t="inlineStr">
        <is>
          <t>Debit</t>
        </is>
      </c>
      <c r="O121" s="7" t="inlineStr">
        <is>
          <t>Y</t>
        </is>
      </c>
      <c r="P121" s="9" t="n"/>
      <c r="Q121" s="9" t="inlineStr">
        <is>
          <t>IMG_5563.HEIC</t>
        </is>
      </c>
    </row>
    <row r="122">
      <c r="A122" s="7" t="n">
        <v>117</v>
      </c>
      <c r="B122" s="8" t="n">
        <v>46167</v>
      </c>
      <c r="C122" s="7">
        <f>IF(B122="","미기재",TEXT(B122,"yyyy-mm"))</f>
        <v/>
      </c>
      <c r="D122" s="7" t="inlineStr">
        <is>
          <t>14:54</t>
        </is>
      </c>
      <c r="E122" s="9" t="inlineStr">
        <is>
          <t>Pioneer 주유소</t>
        </is>
      </c>
      <c r="F122" s="9" t="inlineStr">
        <is>
          <t>Pioneer 주유소</t>
        </is>
      </c>
      <c r="G122" s="9" t="inlineStr">
        <is>
          <t>2182 Queen St E, Brampton</t>
        </is>
      </c>
      <c r="H122" s="7" t="inlineStr">
        <is>
          <t>CAD</t>
        </is>
      </c>
      <c r="I122" s="10" t="n">
        <v>38.1</v>
      </c>
      <c r="J122" s="10" t="n">
        <v>1.9</v>
      </c>
      <c r="K122" s="10" t="n"/>
      <c r="L122" s="10" t="n"/>
      <c r="M122" s="10" t="n">
        <v>40</v>
      </c>
      <c r="N122" s="9" t="inlineStr">
        <is>
          <t>Mastercard</t>
        </is>
      </c>
      <c r="O122" s="7" t="inlineStr">
        <is>
          <t>Y</t>
        </is>
      </c>
      <c r="P122" s="9" t="inlineStr">
        <is>
          <t>주유 21.990L 선결제 / 세금은 FHST(연방 5%)만 표기</t>
        </is>
      </c>
      <c r="Q122" s="9" t="inlineStr">
        <is>
          <t>IMG_5428.HEIC</t>
        </is>
      </c>
    </row>
    <row r="123">
      <c r="A123" s="7" t="n">
        <v>118</v>
      </c>
      <c r="B123" s="8" t="n">
        <v>46168</v>
      </c>
      <c r="C123" s="7">
        <f>IF(B123="","미기재",TEXT(B123,"yyyy-mm"))</f>
        <v/>
      </c>
      <c r="D123" s="7" t="inlineStr">
        <is>
          <t>15:39</t>
        </is>
      </c>
      <c r="E123" s="9" t="inlineStr">
        <is>
          <t>Hanmipost (한미우체국택배)</t>
        </is>
      </c>
      <c r="F123" s="9" t="inlineStr">
        <is>
          <t>Hanmipost (한미우체국택배)</t>
        </is>
      </c>
      <c r="G123" s="9" t="inlineStr">
        <is>
          <t>7378 Yonge St 16B, Vaughan</t>
        </is>
      </c>
      <c r="H123" s="7" t="inlineStr">
        <is>
          <t>CAD</t>
        </is>
      </c>
      <c r="I123" s="10" t="n"/>
      <c r="J123" s="10" t="n"/>
      <c r="K123" s="10" t="n"/>
      <c r="L123" s="10" t="n"/>
      <c r="M123" s="10" t="n">
        <v>14</v>
      </c>
      <c r="N123" s="9" t="inlineStr">
        <is>
          <t>Mastercard</t>
        </is>
      </c>
      <c r="O123" s="7" t="inlineStr">
        <is>
          <t>Y</t>
        </is>
      </c>
      <c r="P123" s="9" t="inlineStr">
        <is>
          <t>택배비(세금 내역 없음)</t>
        </is>
      </c>
      <c r="Q123" s="9" t="inlineStr">
        <is>
          <t>IMG_5567.HEIC</t>
        </is>
      </c>
    </row>
    <row r="124">
      <c r="A124" s="7" t="n">
        <v>119</v>
      </c>
      <c r="B124" s="8" t="n">
        <v>46169</v>
      </c>
      <c r="C124" s="7">
        <f>IF(B124="","미기재",TEXT(B124,"yyyy-mm"))</f>
        <v/>
      </c>
      <c r="D124" s="7" t="inlineStr">
        <is>
          <t>17:49</t>
        </is>
      </c>
      <c r="E124" s="9" t="inlineStr">
        <is>
          <t>Dollarama</t>
        </is>
      </c>
      <c r="F124" s="9" t="inlineStr">
        <is>
          <t>Dollarama</t>
        </is>
      </c>
      <c r="G124" s="9" t="inlineStr">
        <is>
          <t>1735 Kipling Ave Unit 7, Etobicoke</t>
        </is>
      </c>
      <c r="H124" s="7" t="inlineStr">
        <is>
          <t>CAD</t>
        </is>
      </c>
      <c r="I124" s="10" t="n">
        <v>15</v>
      </c>
      <c r="J124" s="10" t="n">
        <v>1.95</v>
      </c>
      <c r="K124" s="10" t="n"/>
      <c r="L124" s="10" t="n"/>
      <c r="M124" s="10" t="n">
        <v>16.95</v>
      </c>
      <c r="N124" s="9" t="inlineStr">
        <is>
          <t>Mastercard</t>
        </is>
      </c>
      <c r="O124" s="7" t="inlineStr">
        <is>
          <t>Y</t>
        </is>
      </c>
      <c r="P124" s="9" t="inlineStr">
        <is>
          <t>첫 결제(14.41) 취소 후 16.95 승인</t>
        </is>
      </c>
      <c r="Q124" s="9" t="inlineStr">
        <is>
          <t>IMG_5564.HEIC</t>
        </is>
      </c>
    </row>
    <row r="125">
      <c r="A125" s="7" t="n">
        <v>120</v>
      </c>
      <c r="B125" s="8" t="n">
        <v>46170</v>
      </c>
      <c r="C125" s="7">
        <f>IF(B125="","미기재",TEXT(B125,"yyyy-mm"))</f>
        <v/>
      </c>
      <c r="D125" s="7" t="inlineStr">
        <is>
          <t>15:56</t>
        </is>
      </c>
      <c r="E125" s="9" t="inlineStr">
        <is>
          <t>Tim Hortons</t>
        </is>
      </c>
      <c r="F125" s="9" t="inlineStr">
        <is>
          <t>Tim Hortons</t>
        </is>
      </c>
      <c r="G125" s="9" t="inlineStr">
        <is>
          <t>2851 John St, Markham</t>
        </is>
      </c>
      <c r="H125" s="7" t="inlineStr">
        <is>
          <t>CAD</t>
        </is>
      </c>
      <c r="I125" s="10" t="n">
        <v>1.59</v>
      </c>
      <c r="J125" s="10" t="n">
        <v>0.08</v>
      </c>
      <c r="K125" s="10" t="n"/>
      <c r="L125" s="10" t="n"/>
      <c r="M125" s="10" t="n">
        <v>1.67</v>
      </c>
      <c r="N125" s="9" t="inlineStr">
        <is>
          <t>Mastercard</t>
        </is>
      </c>
      <c r="O125" s="7" t="inlineStr">
        <is>
          <t>Y</t>
        </is>
      </c>
      <c r="P125" s="9" t="n"/>
      <c r="Q125" s="9" t="inlineStr">
        <is>
          <t>IMG_5581.HEIC</t>
        </is>
      </c>
    </row>
    <row r="126">
      <c r="A126" s="7" t="n">
        <v>121</v>
      </c>
      <c r="B126" s="8" t="n">
        <v>46172</v>
      </c>
      <c r="C126" s="7">
        <f>IF(B126="","미기재",TEXT(B126,"yyyy-mm"))</f>
        <v/>
      </c>
      <c r="D126" s="7" t="inlineStr">
        <is>
          <t>15:26</t>
        </is>
      </c>
      <c r="E126" s="9" t="inlineStr">
        <is>
          <t>Sushi Legend</t>
        </is>
      </c>
      <c r="F126" s="9" t="inlineStr">
        <is>
          <t>Sushi Legend</t>
        </is>
      </c>
      <c r="G126" s="9" t="inlineStr">
        <is>
          <t>10 Ravel Rd Unit 3, North York</t>
        </is>
      </c>
      <c r="H126" s="7" t="inlineStr">
        <is>
          <t>CAD</t>
        </is>
      </c>
      <c r="I126" s="10" t="n">
        <v>173.7</v>
      </c>
      <c r="J126" s="10" t="n">
        <v>22.58</v>
      </c>
      <c r="K126" s="10" t="n"/>
      <c r="L126" s="10" t="n"/>
      <c r="M126" s="10" t="n">
        <v>196.28</v>
      </c>
      <c r="N126" s="9" t="n"/>
      <c r="O126" s="7" t="inlineStr">
        <is>
          <t>Y</t>
        </is>
      </c>
      <c r="P126" s="9" t="inlineStr">
        <is>
          <t>팁 미포함 영수증</t>
        </is>
      </c>
      <c r="Q126" s="9" t="inlineStr">
        <is>
          <t>IMG_5565.HEIC</t>
        </is>
      </c>
    </row>
    <row r="127">
      <c r="A127" s="7" t="n">
        <v>122</v>
      </c>
      <c r="B127" s="8" t="n">
        <v>46172</v>
      </c>
      <c r="C127" s="7">
        <f>IF(B127="","미기재",TEXT(B127,"yyyy-mm"))</f>
        <v/>
      </c>
      <c r="D127" s="7" t="inlineStr">
        <is>
          <t>18:19</t>
        </is>
      </c>
      <c r="E127" s="9" t="inlineStr">
        <is>
          <t>Walmart (#1115)</t>
        </is>
      </c>
      <c r="F127" s="9" t="inlineStr">
        <is>
          <t>Walmart (#1115)</t>
        </is>
      </c>
      <c r="G127" s="9" t="inlineStr">
        <is>
          <t>1900 Major Mackenzie Dr, Vaughan</t>
        </is>
      </c>
      <c r="H127" s="7" t="inlineStr">
        <is>
          <t>CAD</t>
        </is>
      </c>
      <c r="I127" s="10" t="n">
        <v>3.98</v>
      </c>
      <c r="J127" s="10" t="n">
        <v>0</v>
      </c>
      <c r="K127" s="10" t="n"/>
      <c r="L127" s="10" t="n"/>
      <c r="M127" s="10" t="n">
        <v>3.98</v>
      </c>
      <c r="N127" s="9" t="inlineStr">
        <is>
          <t>Mastercard</t>
        </is>
      </c>
      <c r="O127" s="7" t="inlineStr">
        <is>
          <t>Y</t>
        </is>
      </c>
      <c r="P127" s="9" t="inlineStr">
        <is>
          <t>비과세(식품)</t>
        </is>
      </c>
      <c r="Q127" s="9" t="inlineStr">
        <is>
          <t>IMG_5566.HEIC</t>
        </is>
      </c>
    </row>
    <row r="128">
      <c r="A128" s="7" t="n">
        <v>123</v>
      </c>
      <c r="B128" s="8" t="n">
        <v>46173</v>
      </c>
      <c r="C128" s="7">
        <f>IF(B128="","미기재",TEXT(B128,"yyyy-mm"))</f>
        <v/>
      </c>
      <c r="D128" s="7" t="inlineStr">
        <is>
          <t>15:00</t>
        </is>
      </c>
      <c r="E128" s="9" t="inlineStr">
        <is>
          <t>Costco Gas (#1655)</t>
        </is>
      </c>
      <c r="F128" s="9" t="inlineStr">
        <is>
          <t>Costco 주유소</t>
        </is>
      </c>
      <c r="G128" s="9" t="inlineStr">
        <is>
          <t>2260 Islington Ave, Etobicoke</t>
        </is>
      </c>
      <c r="H128" s="7" t="inlineStr">
        <is>
          <t>CAD</t>
        </is>
      </c>
      <c r="I128" s="10" t="n">
        <v>68.06999999999999</v>
      </c>
      <c r="J128" s="10" t="n">
        <v>8.85</v>
      </c>
      <c r="K128" s="10" t="n"/>
      <c r="L128" s="10" t="n"/>
      <c r="M128" s="10" t="n">
        <v>76.92</v>
      </c>
      <c r="N128" s="9" t="inlineStr">
        <is>
          <t>Mastercard</t>
        </is>
      </c>
      <c r="O128" s="7" t="inlineStr">
        <is>
          <t>Y</t>
        </is>
      </c>
      <c r="P128" s="9" t="inlineStr">
        <is>
          <t>주유 48.107L (HST 포함가) / 시간 일부 흐림</t>
        </is>
      </c>
      <c r="Q128" s="9" t="inlineStr">
        <is>
          <t>IMG_5441.HEIC</t>
        </is>
      </c>
    </row>
    <row r="129">
      <c r="A129" s="7" t="n">
        <v>124</v>
      </c>
      <c r="B129" s="8" t="n">
        <v>46179</v>
      </c>
      <c r="C129" s="7">
        <f>IF(B129="","미기재",TEXT(B129,"yyyy-mm"))</f>
        <v/>
      </c>
      <c r="D129" s="7" t="inlineStr">
        <is>
          <t>11:12</t>
        </is>
      </c>
      <c r="E129" s="9" t="inlineStr">
        <is>
          <t>Costco (#1655)</t>
        </is>
      </c>
      <c r="F129" s="9" t="inlineStr">
        <is>
          <t>Costco 매장</t>
        </is>
      </c>
      <c r="G129" s="9" t="inlineStr">
        <is>
          <t>2260 Islington Ave, Etobicoke</t>
        </is>
      </c>
      <c r="H129" s="7" t="inlineStr">
        <is>
          <t>CAD</t>
        </is>
      </c>
      <c r="I129" s="10" t="n">
        <v>1.5</v>
      </c>
      <c r="J129" s="10" t="n">
        <v>0.08</v>
      </c>
      <c r="K129" s="10" t="n"/>
      <c r="L129" s="10" t="n"/>
      <c r="M129" s="10" t="n">
        <v>1.58</v>
      </c>
      <c r="N129" s="9" t="inlineStr">
        <is>
          <t>Mastercard</t>
        </is>
      </c>
      <c r="O129" s="7" t="inlineStr">
        <is>
          <t>Y</t>
        </is>
      </c>
      <c r="P129" s="9" t="inlineStr">
        <is>
          <t>세금은 GST 5%</t>
        </is>
      </c>
      <c r="Q129" s="9" t="inlineStr">
        <is>
          <t>IMG_5395.HEIC</t>
        </is>
      </c>
    </row>
    <row r="130">
      <c r="A130" s="7" t="n">
        <v>125</v>
      </c>
      <c r="B130" s="8" t="n">
        <v>46179</v>
      </c>
      <c r="C130" s="7">
        <f>IF(B130="","미기재",TEXT(B130,"yyyy-mm"))</f>
        <v/>
      </c>
      <c r="D130" s="7" t="inlineStr">
        <is>
          <t>14:05</t>
        </is>
      </c>
      <c r="E130" s="9" t="inlineStr">
        <is>
          <t>Chipotle</t>
        </is>
      </c>
      <c r="F130" s="9" t="inlineStr">
        <is>
          <t>Chipotle</t>
        </is>
      </c>
      <c r="G130" s="9" t="inlineStr">
        <is>
          <t>4996 Yonge St, Toronto</t>
        </is>
      </c>
      <c r="H130" s="7" t="inlineStr">
        <is>
          <t>CAD</t>
        </is>
      </c>
      <c r="I130" s="10" t="n">
        <v>12.45</v>
      </c>
      <c r="J130" s="10" t="n">
        <v>1.62</v>
      </c>
      <c r="K130" s="10" t="n"/>
      <c r="L130" s="10" t="n"/>
      <c r="M130" s="10" t="n">
        <v>14.07</v>
      </c>
      <c r="N130" s="9" t="inlineStr">
        <is>
          <t>Cash</t>
        </is>
      </c>
      <c r="O130" s="7" t="inlineStr">
        <is>
          <t>Y</t>
        </is>
      </c>
      <c r="P130" s="9" t="n"/>
      <c r="Q130" s="9" t="inlineStr">
        <is>
          <t>IMG_5388.HEIC</t>
        </is>
      </c>
    </row>
    <row r="131">
      <c r="A131" s="7" t="n">
        <v>126</v>
      </c>
      <c r="B131" s="8" t="n">
        <v>46182</v>
      </c>
      <c r="C131" s="7">
        <f>IF(B131="","미기재",TEXT(B131,"yyyy-mm"))</f>
        <v/>
      </c>
      <c r="D131" s="7" t="inlineStr">
        <is>
          <t>14:55</t>
        </is>
      </c>
      <c r="E131" s="9" t="inlineStr">
        <is>
          <t>Dixie Mart Esso</t>
        </is>
      </c>
      <c r="F131" s="9" t="inlineStr">
        <is>
          <t>Esso</t>
        </is>
      </c>
      <c r="G131" s="9" t="inlineStr">
        <is>
          <t>7280 Dixie Rd, Mississauga</t>
        </is>
      </c>
      <c r="H131" s="7" t="inlineStr">
        <is>
          <t>CAD</t>
        </is>
      </c>
      <c r="I131" s="10" t="n">
        <v>44.25</v>
      </c>
      <c r="J131" s="10" t="n">
        <v>5.75</v>
      </c>
      <c r="K131" s="10" t="n"/>
      <c r="L131" s="10" t="n"/>
      <c r="M131" s="10" t="n">
        <v>50</v>
      </c>
      <c r="N131" s="9" t="inlineStr">
        <is>
          <t>Mastercard (Fleet)</t>
        </is>
      </c>
      <c r="O131" s="7" t="inlineStr">
        <is>
          <t>Y</t>
        </is>
      </c>
      <c r="P131" s="9" t="inlineStr">
        <is>
          <t>주유 30.883L 선결제 (HST 포함가)</t>
        </is>
      </c>
      <c r="Q131" s="9" t="inlineStr">
        <is>
          <t>IMG_5436.HEIC</t>
        </is>
      </c>
    </row>
    <row r="132">
      <c r="A132" s="7" t="n">
        <v>127</v>
      </c>
      <c r="B132" s="8" t="n">
        <v>46187</v>
      </c>
      <c r="C132" s="7">
        <f>IF(B132="","미기재",TEXT(B132,"yyyy-mm"))</f>
        <v/>
      </c>
      <c r="D132" s="7" t="inlineStr">
        <is>
          <t>18:11</t>
        </is>
      </c>
      <c r="E132" s="9" t="inlineStr">
        <is>
          <t>Bungopang Cafe (K-Town)</t>
        </is>
      </c>
      <c r="F132" s="9" t="inlineStr">
        <is>
          <t>Bungopang Cafe (K-Town)</t>
        </is>
      </c>
      <c r="G132" s="9" t="inlineStr">
        <is>
          <t>300 Steeles Ave W, Thornhill</t>
        </is>
      </c>
      <c r="H132" s="7" t="inlineStr">
        <is>
          <t>CAD</t>
        </is>
      </c>
      <c r="I132" s="10" t="n">
        <v>15</v>
      </c>
      <c r="J132" s="10" t="n">
        <v>0</v>
      </c>
      <c r="K132" s="10" t="n"/>
      <c r="L132" s="10" t="n"/>
      <c r="M132" s="10" t="n">
        <v>15</v>
      </c>
      <c r="N132" s="9" t="inlineStr">
        <is>
          <t>Visa</t>
        </is>
      </c>
      <c r="O132" s="7" t="inlineStr">
        <is>
          <t>Y</t>
        </is>
      </c>
      <c r="P132" s="9" t="inlineStr">
        <is>
          <t>비과세(NT) 품목</t>
        </is>
      </c>
      <c r="Q132" s="9" t="inlineStr">
        <is>
          <t>IMG_5410.HEIC</t>
        </is>
      </c>
    </row>
    <row r="133">
      <c r="A133" s="7" t="n">
        <v>128</v>
      </c>
      <c r="B133" s="8" t="n">
        <v>46189</v>
      </c>
      <c r="C133" s="7">
        <f>IF(B133="","미기재",TEXT(B133,"yyyy-mm"))</f>
        <v/>
      </c>
      <c r="D133" s="7" t="inlineStr">
        <is>
          <t>08:58</t>
        </is>
      </c>
      <c r="E133" s="9" t="inlineStr">
        <is>
          <t>Krispy Kreme</t>
        </is>
      </c>
      <c r="F133" s="9" t="inlineStr">
        <is>
          <t>Krispy Kreme</t>
        </is>
      </c>
      <c r="G133" s="9" t="inlineStr">
        <is>
          <t>400 Spadina Ave, Toronto</t>
        </is>
      </c>
      <c r="H133" s="7" t="inlineStr">
        <is>
          <t>CAD</t>
        </is>
      </c>
      <c r="I133" s="10" t="n"/>
      <c r="J133" s="10" t="n"/>
      <c r="K133" s="10" t="n"/>
      <c r="L133" s="10" t="n"/>
      <c r="M133" s="10" t="n">
        <v>30.5</v>
      </c>
      <c r="N133" s="9" t="inlineStr">
        <is>
          <t>Mastercard</t>
        </is>
      </c>
      <c r="O133" s="7" t="inlineStr">
        <is>
          <t>Y</t>
        </is>
      </c>
      <c r="P133" s="9" t="inlineStr">
        <is>
          <t>카드전표만(세금 내역 없음)</t>
        </is>
      </c>
      <c r="Q133" s="9" t="inlineStr">
        <is>
          <t>IMG_5426.HEIC</t>
        </is>
      </c>
    </row>
    <row r="134">
      <c r="A134" s="7" t="n">
        <v>129</v>
      </c>
      <c r="B134" s="8" t="n">
        <v>46189</v>
      </c>
      <c r="C134" s="7">
        <f>IF(B134="","미기재",TEXT(B134,"yyyy-mm"))</f>
        <v/>
      </c>
      <c r="D134" s="7" t="inlineStr">
        <is>
          <t>10:19</t>
        </is>
      </c>
      <c r="E134" s="9" t="inlineStr">
        <is>
          <t>Tim Hortons</t>
        </is>
      </c>
      <c r="F134" s="9" t="inlineStr">
        <is>
          <t>Tim Hortons</t>
        </is>
      </c>
      <c r="G134" s="9" t="inlineStr">
        <is>
          <t>477 Dundas St W, Toronto</t>
        </is>
      </c>
      <c r="H134" s="7" t="inlineStr">
        <is>
          <t>CAD</t>
        </is>
      </c>
      <c r="I134" s="10" t="n">
        <v>9.99</v>
      </c>
      <c r="J134" s="10" t="n">
        <v>0</v>
      </c>
      <c r="K134" s="10" t="n"/>
      <c r="L134" s="10" t="n"/>
      <c r="M134" s="10" t="n">
        <v>9.99</v>
      </c>
      <c r="N134" s="9" t="inlineStr">
        <is>
          <t>Mastercard</t>
        </is>
      </c>
      <c r="O134" s="7" t="inlineStr">
        <is>
          <t>Y</t>
        </is>
      </c>
      <c r="P134" s="9" t="n"/>
      <c r="Q134" s="9" t="inlineStr">
        <is>
          <t>IMG_5420.HEIC</t>
        </is>
      </c>
    </row>
    <row r="135">
      <c r="A135" s="7" t="n">
        <v>130</v>
      </c>
      <c r="B135" s="8" t="n">
        <v>46189</v>
      </c>
      <c r="C135" s="7">
        <f>IF(B135="","미기재",TEXT(B135,"yyyy-mm"))</f>
        <v/>
      </c>
      <c r="D135" s="7" t="inlineStr">
        <is>
          <t>18:45</t>
        </is>
      </c>
      <c r="E135" s="9" t="inlineStr">
        <is>
          <t>Costco Gas (#1655)</t>
        </is>
      </c>
      <c r="F135" s="9" t="inlineStr">
        <is>
          <t>Costco 주유소</t>
        </is>
      </c>
      <c r="G135" s="9" t="inlineStr">
        <is>
          <t>2260 Islington Ave, Etobicoke</t>
        </is>
      </c>
      <c r="H135" s="7" t="inlineStr">
        <is>
          <t>CAD</t>
        </is>
      </c>
      <c r="I135" s="10" t="n">
        <v>63.56</v>
      </c>
      <c r="J135" s="10" t="n">
        <v>8.26</v>
      </c>
      <c r="K135" s="10" t="n"/>
      <c r="L135" s="10" t="n"/>
      <c r="M135" s="10" t="n">
        <v>71.81999999999999</v>
      </c>
      <c r="N135" s="9" t="inlineStr">
        <is>
          <t>Mastercard</t>
        </is>
      </c>
      <c r="O135" s="7" t="inlineStr">
        <is>
          <t>Y</t>
        </is>
      </c>
      <c r="P135" s="9" t="inlineStr">
        <is>
          <t>주유 47.909L (HST 포함가)</t>
        </is>
      </c>
      <c r="Q135" s="9" t="inlineStr">
        <is>
          <t>IMG_5415.HEIC</t>
        </is>
      </c>
    </row>
    <row r="136">
      <c r="A136" s="7" t="n">
        <v>131</v>
      </c>
      <c r="B136" s="8" t="n">
        <v>46193</v>
      </c>
      <c r="C136" s="7">
        <f>IF(B136="","미기재",TEXT(B136,"yyyy-mm"))</f>
        <v/>
      </c>
      <c r="D136" s="7" t="inlineStr">
        <is>
          <t>11:17</t>
        </is>
      </c>
      <c r="E136" s="9" t="inlineStr">
        <is>
          <t>Tim Hortons</t>
        </is>
      </c>
      <c r="F136" s="9" t="inlineStr">
        <is>
          <t>Tim Hortons</t>
        </is>
      </c>
      <c r="G136" s="9" t="inlineStr">
        <is>
          <t>230 Lloyd Manor Rd, Etobicoke</t>
        </is>
      </c>
      <c r="H136" s="7" t="inlineStr">
        <is>
          <t>CAD</t>
        </is>
      </c>
      <c r="I136" s="10" t="n">
        <v>5.49</v>
      </c>
      <c r="J136" s="10" t="n">
        <v>0.71</v>
      </c>
      <c r="K136" s="10" t="n"/>
      <c r="L136" s="10" t="n"/>
      <c r="M136" s="10" t="n">
        <v>6.2</v>
      </c>
      <c r="N136" s="9" t="inlineStr">
        <is>
          <t>Mastercard</t>
        </is>
      </c>
      <c r="O136" s="7" t="inlineStr">
        <is>
          <t>Y</t>
        </is>
      </c>
      <c r="P136" s="9" t="n"/>
      <c r="Q136" s="9" t="inlineStr">
        <is>
          <t>IMG_5414.HEIC</t>
        </is>
      </c>
    </row>
    <row r="137">
      <c r="A137" s="7" t="n">
        <v>132</v>
      </c>
      <c r="B137" s="8" t="n">
        <v>46193</v>
      </c>
      <c r="C137" s="7">
        <f>IF(B137="","미기재",TEXT(B137,"yyyy-mm"))</f>
        <v/>
      </c>
      <c r="D137" s="7" t="inlineStr">
        <is>
          <t>11:20</t>
        </is>
      </c>
      <c r="E137" s="9" t="inlineStr">
        <is>
          <t>Shell</t>
        </is>
      </c>
      <c r="F137" s="9" t="inlineStr">
        <is>
          <t>Shell</t>
        </is>
      </c>
      <c r="G137" s="9" t="inlineStr">
        <is>
          <t>230 Lloydmanor Rd, Toronto</t>
        </is>
      </c>
      <c r="H137" s="7" t="inlineStr">
        <is>
          <t>CAD</t>
        </is>
      </c>
      <c r="I137" s="10" t="n">
        <v>8.779999999999999</v>
      </c>
      <c r="J137" s="10" t="n">
        <v>1.14</v>
      </c>
      <c r="K137" s="10" t="n"/>
      <c r="L137" s="10" t="n"/>
      <c r="M137" s="10" t="n">
        <v>9.92</v>
      </c>
      <c r="N137" s="9" t="inlineStr">
        <is>
          <t>Mastercard</t>
        </is>
      </c>
      <c r="O137" s="7" t="inlineStr">
        <is>
          <t>Y</t>
        </is>
      </c>
      <c r="P137" s="9" t="n"/>
      <c r="Q137" s="9" t="inlineStr">
        <is>
          <t>IMG_5391.HEIC</t>
        </is>
      </c>
    </row>
    <row r="138">
      <c r="A138" s="7" t="n">
        <v>133</v>
      </c>
      <c r="B138" s="8" t="n">
        <v>46197</v>
      </c>
      <c r="C138" s="7">
        <f>IF(B138="","미기재",TEXT(B138,"yyyy-mm"))</f>
        <v/>
      </c>
      <c r="D138" s="7" t="n"/>
      <c r="E138" s="9" t="inlineStr">
        <is>
          <t>Costco Pharmacy</t>
        </is>
      </c>
      <c r="F138" s="9" t="inlineStr">
        <is>
          <t>Costco 약국</t>
        </is>
      </c>
      <c r="G138" s="9" t="inlineStr">
        <is>
          <t>2260 Islington Ave, Etobicoke</t>
        </is>
      </c>
      <c r="H138" s="7" t="inlineStr">
        <is>
          <t>CAD</t>
        </is>
      </c>
      <c r="I138" s="10" t="n">
        <v>10.84</v>
      </c>
      <c r="J138" s="10" t="n">
        <v>0</v>
      </c>
      <c r="K138" s="10" t="n"/>
      <c r="L138" s="10" t="n"/>
      <c r="M138" s="10" t="n">
        <v>10.84</v>
      </c>
      <c r="N138" s="9" t="n"/>
      <c r="O138" s="7" t="inlineStr">
        <is>
          <t>Y</t>
        </is>
      </c>
      <c r="P138" s="9" t="inlineStr">
        <is>
          <t>처방약(비과세) / 총 25.67 중 보험 14.83 제외 본인부담</t>
        </is>
      </c>
      <c r="Q138" s="9" t="inlineStr">
        <is>
          <t>IMG_5652.HEIC</t>
        </is>
      </c>
    </row>
    <row r="139">
      <c r="A139" s="7" t="n">
        <v>134</v>
      </c>
      <c r="B139" s="8" t="n">
        <v>46199</v>
      </c>
      <c r="C139" s="7">
        <f>IF(B139="","미기재",TEXT(B139,"yyyy-mm"))</f>
        <v/>
      </c>
      <c r="D139" s="7" t="inlineStr">
        <is>
          <t>13:41</t>
        </is>
      </c>
      <c r="E139" s="9" t="inlineStr">
        <is>
          <t>Staples (Grand Park)</t>
        </is>
      </c>
      <c r="F139" s="9" t="inlineStr">
        <is>
          <t>Staples</t>
        </is>
      </c>
      <c r="G139" s="9" t="inlineStr">
        <is>
          <t>3950 Grand Park Dr, Mississauga</t>
        </is>
      </c>
      <c r="H139" s="7" t="inlineStr">
        <is>
          <t>CAD</t>
        </is>
      </c>
      <c r="I139" s="10" t="n">
        <v>4.13</v>
      </c>
      <c r="J139" s="10" t="n">
        <v>0.54</v>
      </c>
      <c r="K139" s="10" t="n"/>
      <c r="L139" s="10" t="n"/>
      <c r="M139" s="10" t="n">
        <v>4.67</v>
      </c>
      <c r="N139" s="9" t="inlineStr">
        <is>
          <t>Mastercard</t>
        </is>
      </c>
      <c r="O139" s="7" t="inlineStr">
        <is>
          <t>Y</t>
        </is>
      </c>
      <c r="P139" s="9" t="inlineStr">
        <is>
          <t>컬러 출력 (영수증 #148840 - 별도 거래)</t>
        </is>
      </c>
      <c r="Q139" s="9" t="inlineStr">
        <is>
          <t>IMG_5643.HEIC</t>
        </is>
      </c>
    </row>
    <row r="140">
      <c r="A140" s="7" t="n">
        <v>135</v>
      </c>
      <c r="B140" s="8" t="n">
        <v>46199</v>
      </c>
      <c r="C140" s="7">
        <f>IF(B140="","미기재",TEXT(B140,"yyyy-mm"))</f>
        <v/>
      </c>
      <c r="D140" s="7" t="inlineStr">
        <is>
          <t>13:43</t>
        </is>
      </c>
      <c r="E140" s="9" t="inlineStr">
        <is>
          <t>Staples (Grand Park)</t>
        </is>
      </c>
      <c r="F140" s="9" t="inlineStr">
        <is>
          <t>Staples</t>
        </is>
      </c>
      <c r="G140" s="9" t="inlineStr">
        <is>
          <t>3950 Grand Park Dr, Mississauga</t>
        </is>
      </c>
      <c r="H140" s="7" t="inlineStr">
        <is>
          <t>CAD</t>
        </is>
      </c>
      <c r="I140" s="10" t="n">
        <v>4.13</v>
      </c>
      <c r="J140" s="10" t="n">
        <v>0.54</v>
      </c>
      <c r="K140" s="10" t="n"/>
      <c r="L140" s="10" t="n"/>
      <c r="M140" s="10" t="n">
        <v>4.67</v>
      </c>
      <c r="N140" s="9" t="inlineStr">
        <is>
          <t>Mastercard</t>
        </is>
      </c>
      <c r="O140" s="7" t="inlineStr">
        <is>
          <t>Y</t>
        </is>
      </c>
      <c r="P140" s="9" t="inlineStr">
        <is>
          <t>컬러 출력 (영수증 #148841)</t>
        </is>
      </c>
      <c r="Q140" s="9" t="inlineStr">
        <is>
          <t>IMG_5642.HEIC</t>
        </is>
      </c>
    </row>
    <row r="141">
      <c r="A141" s="7" t="n">
        <v>136</v>
      </c>
      <c r="B141" s="8" t="n">
        <v>46204</v>
      </c>
      <c r="C141" s="7">
        <f>IF(B141="","미기재",TEXT(B141,"yyyy-mm"))</f>
        <v/>
      </c>
      <c r="D141" s="7" t="inlineStr">
        <is>
          <t>15:27</t>
        </is>
      </c>
      <c r="E141" s="9" t="inlineStr">
        <is>
          <t>Shell</t>
        </is>
      </c>
      <c r="F141" s="9" t="inlineStr">
        <is>
          <t>Shell</t>
        </is>
      </c>
      <c r="G141" s="9" t="inlineStr">
        <is>
          <t>230 Lloydmanor Rd, Toronto</t>
        </is>
      </c>
      <c r="H141" s="7" t="inlineStr">
        <is>
          <t>CAD</t>
        </is>
      </c>
      <c r="I141" s="10" t="n">
        <v>42.31</v>
      </c>
      <c r="J141" s="10" t="n">
        <v>5.5</v>
      </c>
      <c r="K141" s="10" t="n"/>
      <c r="L141" s="10" t="n"/>
      <c r="M141" s="10" t="n">
        <v>47.81</v>
      </c>
      <c r="N141" s="9" t="inlineStr">
        <is>
          <t>Visa</t>
        </is>
      </c>
      <c r="O141" s="7" t="inlineStr">
        <is>
          <t>Y</t>
        </is>
      </c>
      <c r="P141" s="9" t="inlineStr">
        <is>
          <t>주유 29.900L (HST 포함가)</t>
        </is>
      </c>
      <c r="Q141" s="9" t="inlineStr">
        <is>
          <t>IMG_5430.HEIC</t>
        </is>
      </c>
    </row>
    <row r="142">
      <c r="A142" s="7" t="n">
        <v>137</v>
      </c>
      <c r="B142" s="8" t="n">
        <v>46207</v>
      </c>
      <c r="C142" s="7">
        <f>IF(B142="","미기재",TEXT(B142,"yyyy-mm"))</f>
        <v/>
      </c>
      <c r="D142" s="7" t="n"/>
      <c r="E142" s="9" t="inlineStr">
        <is>
          <t>Anthropic (Claude Pro 월 구독)</t>
        </is>
      </c>
      <c r="F142" s="9" t="inlineStr">
        <is>
          <t>Anthropic (Claude)</t>
        </is>
      </c>
      <c r="G142" s="9" t="inlineStr">
        <is>
          <t>온라인</t>
        </is>
      </c>
      <c r="H142" s="7" t="inlineStr">
        <is>
          <t>CAD</t>
        </is>
      </c>
      <c r="I142" s="10" t="n">
        <v>28</v>
      </c>
      <c r="J142" s="10" t="n">
        <v>3.64</v>
      </c>
      <c r="K142" s="10" t="n"/>
      <c r="L142" s="10" t="n"/>
      <c r="M142" s="10" t="n">
        <v>31.64</v>
      </c>
      <c r="N142" s="9" t="inlineStr">
        <is>
          <t>Mastercard</t>
        </is>
      </c>
      <c r="O142" s="7" t="inlineStr">
        <is>
          <t>Y</t>
        </is>
      </c>
      <c r="P142" s="9" t="inlineStr">
        <is>
          <t>영수증(7/4~8/4)</t>
        </is>
      </c>
      <c r="Q142" s="9" t="inlineStr">
        <is>
          <t>IMG_5640.HEIC</t>
        </is>
      </c>
    </row>
    <row r="143">
      <c r="A143" s="7" t="n">
        <v>138</v>
      </c>
      <c r="B143" s="8" t="n">
        <v>46207</v>
      </c>
      <c r="C143" s="7">
        <f>IF(B143="","미기재",TEXT(B143,"yyyy-mm"))</f>
        <v/>
      </c>
      <c r="D143" s="7" t="inlineStr">
        <is>
          <t>18:44</t>
        </is>
      </c>
      <c r="E143" s="9" t="inlineStr">
        <is>
          <t>Kin Kin Bakery</t>
        </is>
      </c>
      <c r="F143" s="9" t="inlineStr">
        <is>
          <t>Kin Kin Bakery</t>
        </is>
      </c>
      <c r="G143" s="9" t="inlineStr">
        <is>
          <t>4841 Yonge St, Toronto</t>
        </is>
      </c>
      <c r="H143" s="7" t="inlineStr">
        <is>
          <t>CAD</t>
        </is>
      </c>
      <c r="I143" s="10" t="n"/>
      <c r="J143" s="10" t="n"/>
      <c r="K143" s="10" t="n"/>
      <c r="L143" s="10" t="n"/>
      <c r="M143" s="10" t="n">
        <v>17.5</v>
      </c>
      <c r="N143" s="9" t="inlineStr">
        <is>
          <t>Mastercard</t>
        </is>
      </c>
      <c r="O143" s="7" t="inlineStr">
        <is>
          <t>Y</t>
        </is>
      </c>
      <c r="P143" s="9" t="inlineStr">
        <is>
          <t>카드전표만(세금 내역 없음)</t>
        </is>
      </c>
      <c r="Q143" s="9" t="inlineStr">
        <is>
          <t>IMG_5412.HEIC</t>
        </is>
      </c>
    </row>
    <row r="144">
      <c r="A144" s="7" t="n">
        <v>139</v>
      </c>
      <c r="B144" s="8" t="n">
        <v>46207</v>
      </c>
      <c r="C144" s="7">
        <f>IF(B144="","미기재",TEXT(B144,"yyyy-mm"))</f>
        <v/>
      </c>
      <c r="D144" s="7" t="inlineStr">
        <is>
          <t>20:07</t>
        </is>
      </c>
      <c r="E144" s="9" t="inlineStr">
        <is>
          <t>Esso 주유소 (Imperial)</t>
        </is>
      </c>
      <c r="F144" s="9" t="inlineStr">
        <is>
          <t>Esso</t>
        </is>
      </c>
      <c r="G144" s="9" t="inlineStr">
        <is>
          <t>주소 미기재 (Station #00302483)</t>
        </is>
      </c>
      <c r="H144" s="7" t="inlineStr">
        <is>
          <t>CAD</t>
        </is>
      </c>
      <c r="I144" s="10" t="n">
        <v>38.94</v>
      </c>
      <c r="J144" s="10" t="n">
        <v>5.07</v>
      </c>
      <c r="K144" s="10" t="n"/>
      <c r="L144" s="10" t="n"/>
      <c r="M144" s="10" t="n">
        <v>44.01</v>
      </c>
      <c r="N144" s="9" t="inlineStr">
        <is>
          <t>Mastercard</t>
        </is>
      </c>
      <c r="O144" s="7" t="inlineStr">
        <is>
          <t>Y</t>
        </is>
      </c>
      <c r="P144" s="9" t="inlineStr">
        <is>
          <t>주유 23.546L 고급(Supreme) (HST 포함가)</t>
        </is>
      </c>
      <c r="Q144" s="9" t="inlineStr">
        <is>
          <t>IMG_5413.HEIC</t>
        </is>
      </c>
    </row>
    <row r="145">
      <c r="A145" s="7" t="n">
        <v>140</v>
      </c>
      <c r="B145" s="8" t="n">
        <v>46208</v>
      </c>
      <c r="C145" s="7">
        <f>IF(B145="","미기재",TEXT(B145,"yyyy-mm"))</f>
        <v/>
      </c>
      <c r="D145" s="7" t="n"/>
      <c r="E145" s="9" t="inlineStr">
        <is>
          <t>Noki Systems (Noki Exchange 렌탈)</t>
        </is>
      </c>
      <c r="F145" s="9" t="inlineStr">
        <is>
          <t>Noki Systems</t>
        </is>
      </c>
      <c r="G145" s="9" t="inlineStr">
        <is>
          <t>395 Bloor St E, Toronto</t>
        </is>
      </c>
      <c r="H145" s="7" t="inlineStr">
        <is>
          <t>CAD</t>
        </is>
      </c>
      <c r="I145" s="10" t="n">
        <v>49.99</v>
      </c>
      <c r="J145" s="10" t="n">
        <v>6.5</v>
      </c>
      <c r="K145" s="10" t="n"/>
      <c r="L145" s="10" t="n"/>
      <c r="M145" s="10" t="n">
        <v>56.49</v>
      </c>
      <c r="N145" s="9" t="n"/>
      <c r="O145" s="7" t="inlineStr">
        <is>
          <t>Y</t>
        </is>
      </c>
      <c r="P145" s="9" t="inlineStr">
        <is>
          <t>한 장에 2건 기재 - 7월분</t>
        </is>
      </c>
      <c r="Q145" s="9" t="inlineStr">
        <is>
          <t>IMG_5612.HEIC</t>
        </is>
      </c>
    </row>
    <row r="146">
      <c r="A146" s="11" t="n">
        <v>141</v>
      </c>
      <c r="B146" s="12" t="n">
        <v>46208</v>
      </c>
      <c r="C146" s="11">
        <f>IF(B146="","미기재",TEXT(B146,"yyyy-mm"))</f>
        <v/>
      </c>
      <c r="D146" s="11" t="n"/>
      <c r="E146" s="13" t="inlineStr">
        <is>
          <t>Noki Systems (Noki Exchange 렌탈)</t>
        </is>
      </c>
      <c r="F146" s="13" t="inlineStr">
        <is>
          <t>Noki Systems</t>
        </is>
      </c>
      <c r="G146" s="13" t="inlineStr">
        <is>
          <t>395 Bloor St E, Toronto</t>
        </is>
      </c>
      <c r="H146" s="11" t="inlineStr">
        <is>
          <t>CAD</t>
        </is>
      </c>
      <c r="I146" s="14" t="n"/>
      <c r="J146" s="14" t="n"/>
      <c r="K146" s="14" t="n"/>
      <c r="L146" s="14" t="n"/>
      <c r="M146" s="14" t="n">
        <v>56.49</v>
      </c>
      <c r="N146" s="13" t="n"/>
      <c r="O146" s="11" t="inlineStr">
        <is>
          <t>N</t>
        </is>
      </c>
      <c r="P146" s="13" t="inlineStr">
        <is>
          <t>[중복] IMG_5612의 7월분과 동일 - 합계 제외</t>
        </is>
      </c>
      <c r="Q146" s="13" t="inlineStr">
        <is>
          <t>IMG_5639.HEIC</t>
        </is>
      </c>
    </row>
    <row r="147">
      <c r="A147" s="7" t="n">
        <v>142</v>
      </c>
      <c r="B147" s="8" t="n">
        <v>46217</v>
      </c>
      <c r="C147" s="7">
        <f>IF(B147="","미기재",TEXT(B147,"yyyy-mm"))</f>
        <v/>
      </c>
      <c r="D147" s="7" t="inlineStr">
        <is>
          <t>13:16</t>
        </is>
      </c>
      <c r="E147" s="9" t="inlineStr">
        <is>
          <t>LOT82 College Park (주차)</t>
        </is>
      </c>
      <c r="F147" s="9" t="inlineStr">
        <is>
          <t>LOT82 College Park (주차)</t>
        </is>
      </c>
      <c r="G147" s="9" t="inlineStr">
        <is>
          <t>College Park, Toronto</t>
        </is>
      </c>
      <c r="H147" s="7" t="inlineStr">
        <is>
          <t>CAD</t>
        </is>
      </c>
      <c r="I147" s="10" t="n"/>
      <c r="J147" s="10" t="n"/>
      <c r="K147" s="10" t="n"/>
      <c r="L147" s="10" t="n"/>
      <c r="M147" s="10" t="n">
        <v>26</v>
      </c>
      <c r="N147" s="9" t="inlineStr">
        <is>
          <t>Mastercard</t>
        </is>
      </c>
      <c r="O147" s="7" t="inlineStr">
        <is>
          <t>Y</t>
        </is>
      </c>
      <c r="P147" s="9" t="inlineStr">
        <is>
          <t>주차 카드전표만(세금 내역 없음)</t>
        </is>
      </c>
      <c r="Q147" s="9" t="inlineStr">
        <is>
          <t>IMG_5393.HEIC</t>
        </is>
      </c>
    </row>
    <row r="148">
      <c r="A148" s="7" t="n">
        <v>143</v>
      </c>
      <c r="B148" s="8" t="n">
        <v>46217</v>
      </c>
      <c r="C148" s="7">
        <f>IF(B148="","미기재",TEXT(B148,"yyyy-mm"))</f>
        <v/>
      </c>
      <c r="D148" s="7" t="inlineStr">
        <is>
          <t>20:49</t>
        </is>
      </c>
      <c r="E148" s="9" t="inlineStr">
        <is>
          <t>Costco Gas (#1655)</t>
        </is>
      </c>
      <c r="F148" s="9" t="inlineStr">
        <is>
          <t>Costco 주유소</t>
        </is>
      </c>
      <c r="G148" s="9" t="inlineStr">
        <is>
          <t>2260 Islington Ave, Etobicoke</t>
        </is>
      </c>
      <c r="H148" s="7" t="inlineStr">
        <is>
          <t>CAD</t>
        </is>
      </c>
      <c r="I148" s="10" t="n">
        <v>66.16</v>
      </c>
      <c r="J148" s="10" t="n">
        <v>8.6</v>
      </c>
      <c r="K148" s="10" t="n"/>
      <c r="L148" s="10" t="n"/>
      <c r="M148" s="10" t="n">
        <v>74.76000000000001</v>
      </c>
      <c r="N148" s="9" t="inlineStr">
        <is>
          <t>Mastercard</t>
        </is>
      </c>
      <c r="O148" s="7" t="inlineStr">
        <is>
          <t>Y</t>
        </is>
      </c>
      <c r="P148" s="9" t="inlineStr">
        <is>
          <t>주유 48.894L (HST 포함가)</t>
        </is>
      </c>
      <c r="Q148" s="9" t="inlineStr">
        <is>
          <t>IMG_5431.HEIC</t>
        </is>
      </c>
    </row>
    <row r="149">
      <c r="A149" s="7" t="n">
        <v>144</v>
      </c>
      <c r="B149" s="8" t="n">
        <v>46219</v>
      </c>
      <c r="C149" s="7">
        <f>IF(B149="","미기재",TEXT(B149,"yyyy-mm"))</f>
        <v/>
      </c>
      <c r="D149" s="7" t="n"/>
      <c r="E149" s="9" t="inlineStr">
        <is>
          <t>RECO (Real Estate Council of Ontario)</t>
        </is>
      </c>
      <c r="F149" s="9" t="inlineStr">
        <is>
          <t>RECO (Real Estate Council of Ontario)</t>
        </is>
      </c>
      <c r="G149" s="9" t="inlineStr">
        <is>
          <t>3300 Bloor St W, Toronto</t>
        </is>
      </c>
      <c r="H149" s="7" t="inlineStr">
        <is>
          <t>CAD</t>
        </is>
      </c>
      <c r="I149" s="10" t="n">
        <v>465.49</v>
      </c>
      <c r="J149" s="10" t="n">
        <v>0.03</v>
      </c>
      <c r="K149" s="10" t="n">
        <v>34.48</v>
      </c>
      <c r="L149" s="10" t="n"/>
      <c r="M149" s="10" t="n">
        <v>500</v>
      </c>
      <c r="N149" s="9" t="n"/>
      <c r="O149" s="7" t="inlineStr">
        <is>
          <t>Y</t>
        </is>
      </c>
      <c r="P149" s="9" t="inlineStr">
        <is>
          <t>전문직 배상책임보험료 (2026.9~2027.8) / HST는 프로그램비에만 0.03, 보험료엔 PST 8% 34.48 별도</t>
        </is>
      </c>
      <c r="Q149" s="9" t="inlineStr">
        <is>
          <t>IMG_5641.HEIC</t>
        </is>
      </c>
    </row>
    <row r="150">
      <c r="A150" s="7" t="n">
        <v>145</v>
      </c>
      <c r="B150" s="8" t="n">
        <v>46230</v>
      </c>
      <c r="C150" s="7">
        <f>IF(B150="","미기재",TEXT(B150,"yyyy-mm"))</f>
        <v/>
      </c>
      <c r="D150" s="7" t="inlineStr">
        <is>
          <t>18:53</t>
        </is>
      </c>
      <c r="E150" s="9" t="inlineStr">
        <is>
          <t>Gyodong Mississauga</t>
        </is>
      </c>
      <c r="F150" s="9" t="inlineStr">
        <is>
          <t>Gyodong Mississauga</t>
        </is>
      </c>
      <c r="G150" s="9" t="inlineStr">
        <is>
          <t>15-1170 Burnhamthorpe Rd, Mississauga</t>
        </is>
      </c>
      <c r="H150" s="7" t="inlineStr">
        <is>
          <t>CAD</t>
        </is>
      </c>
      <c r="I150" s="10" t="n"/>
      <c r="J150" s="10" t="n"/>
      <c r="K150" s="10" t="n"/>
      <c r="L150" s="10" t="n">
        <v>5</v>
      </c>
      <c r="M150" s="10" t="n">
        <v>41.14</v>
      </c>
      <c r="N150" s="9" t="inlineStr">
        <is>
          <t>Mastercard</t>
        </is>
      </c>
      <c r="O150" s="7" t="inlineStr">
        <is>
          <t>Y</t>
        </is>
      </c>
      <c r="P150" s="9" t="inlineStr">
        <is>
          <t>카드전표만(세금 내역 없음) / 금액 36.14 + 팁 5.00</t>
        </is>
      </c>
      <c r="Q150" s="9" t="inlineStr">
        <is>
          <t>IMG_5355.HEIC</t>
        </is>
      </c>
    </row>
    <row r="151">
      <c r="A151" s="7" t="n">
        <v>146</v>
      </c>
      <c r="B151" s="8" t="n">
        <v>46232</v>
      </c>
      <c r="C151" s="7">
        <f>IF(B151="","미기재",TEXT(B151,"yyyy-mm"))</f>
        <v/>
      </c>
      <c r="D151" s="7" t="inlineStr">
        <is>
          <t>11:22</t>
        </is>
      </c>
      <c r="E151" s="9" t="inlineStr">
        <is>
          <t>Tim Hortons (Pearson 공항)</t>
        </is>
      </c>
      <c r="F151" s="9" t="inlineStr">
        <is>
          <t>Tim Hortons</t>
        </is>
      </c>
      <c r="G151" s="9" t="inlineStr">
        <is>
          <t>Lester B Pearson Airport, Mississauga</t>
        </is>
      </c>
      <c r="H151" s="7" t="inlineStr">
        <is>
          <t>CAD</t>
        </is>
      </c>
      <c r="I151" s="10" t="n"/>
      <c r="J151" s="10" t="n"/>
      <c r="K151" s="10" t="n"/>
      <c r="L151" s="10" t="n"/>
      <c r="M151" s="10" t="n">
        <v>5.51</v>
      </c>
      <c r="N151" s="9" t="inlineStr">
        <is>
          <t>Mastercard</t>
        </is>
      </c>
      <c r="O151" s="7" t="inlineStr">
        <is>
          <t>Y</t>
        </is>
      </c>
      <c r="P151" s="9" t="inlineStr">
        <is>
          <t>카드전표만(세금 내역 없음)</t>
        </is>
      </c>
      <c r="Q151" s="9" t="inlineStr">
        <is>
          <t>IMG_5476.HEIC</t>
        </is>
      </c>
    </row>
    <row r="152">
      <c r="A152" s="7" t="n">
        <v>147</v>
      </c>
      <c r="B152" s="8" t="n">
        <v>46239</v>
      </c>
      <c r="C152" s="7">
        <f>IF(B152="","미기재",TEXT(B152,"yyyy-mm"))</f>
        <v/>
      </c>
      <c r="D152" s="7" t="n"/>
      <c r="E152" s="9" t="inlineStr">
        <is>
          <t>Noki Systems (Noki Exchange 렌탈)</t>
        </is>
      </c>
      <c r="F152" s="9" t="inlineStr">
        <is>
          <t>Noki Systems</t>
        </is>
      </c>
      <c r="G152" s="9" t="inlineStr">
        <is>
          <t>395 Bloor St E, Toronto</t>
        </is>
      </c>
      <c r="H152" s="7" t="inlineStr">
        <is>
          <t>CAD</t>
        </is>
      </c>
      <c r="I152" s="10" t="n">
        <v>49.99</v>
      </c>
      <c r="J152" s="10" t="n">
        <v>6.5</v>
      </c>
      <c r="K152" s="10" t="n"/>
      <c r="L152" s="10" t="n"/>
      <c r="M152" s="10" t="n">
        <v>56.49</v>
      </c>
      <c r="N152" s="9" t="n"/>
      <c r="O152" s="7" t="inlineStr">
        <is>
          <t>Y</t>
        </is>
      </c>
      <c r="P152" s="9" t="inlineStr">
        <is>
          <t>한 장에 2건 기재 - 8월분</t>
        </is>
      </c>
      <c r="Q152" s="9" t="inlineStr">
        <is>
          <t>IMG_5612.HEIC</t>
        </is>
      </c>
    </row>
    <row r="153">
      <c r="A153" s="7" t="n">
        <v>148</v>
      </c>
      <c r="B153" s="8" t="n">
        <v>46251</v>
      </c>
      <c r="C153" s="7">
        <f>IF(B153="","미기재",TEXT(B153,"yyyy-mm"))</f>
        <v/>
      </c>
      <c r="D153" s="7" t="n"/>
      <c r="E153" s="9" t="inlineStr">
        <is>
          <t>Costco Pharmacy</t>
        </is>
      </c>
      <c r="F153" s="9" t="inlineStr">
        <is>
          <t>Costco 약국</t>
        </is>
      </c>
      <c r="G153" s="9" t="inlineStr">
        <is>
          <t>2260 Islington Ave, Etobicoke</t>
        </is>
      </c>
      <c r="H153" s="7" t="inlineStr">
        <is>
          <t>CAD</t>
        </is>
      </c>
      <c r="I153" s="10" t="n">
        <v>8.279999999999999</v>
      </c>
      <c r="J153" s="10" t="n">
        <v>0</v>
      </c>
      <c r="K153" s="10" t="n"/>
      <c r="L153" s="10" t="n"/>
      <c r="M153" s="10" t="n">
        <v>8.279999999999999</v>
      </c>
      <c r="N153" s="9" t="n"/>
      <c r="O153" s="7" t="inlineStr">
        <is>
          <t>Y</t>
        </is>
      </c>
      <c r="P153" s="9" t="inlineStr">
        <is>
          <t>처방약(비과세) / 총 17.13 중 보험 8.85 제외 본인부담</t>
        </is>
      </c>
      <c r="Q153" s="9" t="inlineStr">
        <is>
          <t>IMG_5653.HEIC</t>
        </is>
      </c>
    </row>
    <row r="154">
      <c r="A154" s="7" t="n">
        <v>149</v>
      </c>
      <c r="B154" s="8" t="n">
        <v>46255</v>
      </c>
      <c r="C154" s="7">
        <f>IF(B154="","미기재",TEXT(B154,"yyyy-mm"))</f>
        <v/>
      </c>
      <c r="D154" s="7" t="n"/>
      <c r="E154" s="9" t="inlineStr">
        <is>
          <t>Apple Canada (Education Store)</t>
        </is>
      </c>
      <c r="F154" s="9" t="inlineStr">
        <is>
          <t>Apple Canada (Education Store)</t>
        </is>
      </c>
      <c r="G154" s="9" t="inlineStr">
        <is>
          <t>온라인</t>
        </is>
      </c>
      <c r="H154" s="7" t="inlineStr">
        <is>
          <t>CAD</t>
        </is>
      </c>
      <c r="I154" s="10" t="n">
        <v>140</v>
      </c>
      <c r="J154" s="10" t="n">
        <v>0</v>
      </c>
      <c r="K154" s="10" t="n"/>
      <c r="L154" s="10" t="n"/>
      <c r="M154" s="10" t="n">
        <v>140</v>
      </c>
      <c r="N154" s="9" t="inlineStr">
        <is>
          <t>Mastercard</t>
        </is>
      </c>
      <c r="O154" s="7" t="inlineStr">
        <is>
          <t>Y</t>
        </is>
      </c>
      <c r="P154" s="9" t="inlineStr">
        <is>
          <t>기프트코드(비과세) / 구매자 Juel Pak</t>
        </is>
      </c>
      <c r="Q154" s="9" t="inlineStr">
        <is>
          <t>IMG_5649.HEIC</t>
        </is>
      </c>
    </row>
    <row r="155">
      <c r="A155" s="7" t="n">
        <v>150</v>
      </c>
      <c r="B155" s="8" t="n">
        <v>46261</v>
      </c>
      <c r="C155" s="7">
        <f>IF(B155="","미기재",TEXT(B155,"yyyy-mm"))</f>
        <v/>
      </c>
      <c r="D155" s="7" t="inlineStr">
        <is>
          <t>10:50</t>
        </is>
      </c>
      <c r="E155" s="9" t="inlineStr">
        <is>
          <t>Cafe Hey, Dalda</t>
        </is>
      </c>
      <c r="F155" s="9" t="inlineStr">
        <is>
          <t>Cafe Hey, Dalda</t>
        </is>
      </c>
      <c r="G155" s="9" t="inlineStr"/>
      <c r="H155" s="7" t="inlineStr">
        <is>
          <t>CAD</t>
        </is>
      </c>
      <c r="I155" s="10" t="n">
        <v>8</v>
      </c>
      <c r="J155" s="10" t="n">
        <v>1.04</v>
      </c>
      <c r="K155" s="10" t="n"/>
      <c r="L155" s="10" t="n"/>
      <c r="M155" s="10" t="n">
        <v>9.039999999999999</v>
      </c>
      <c r="N155" s="9" t="n"/>
      <c r="O155" s="7" t="inlineStr">
        <is>
          <t>Y</t>
        </is>
      </c>
      <c r="P155" s="9" t="inlineStr">
        <is>
          <t>주소 미기재</t>
        </is>
      </c>
      <c r="Q155" s="9" t="inlineStr">
        <is>
          <t>IMG_5339.HEIC</t>
        </is>
      </c>
    </row>
    <row r="156">
      <c r="A156" s="7" t="n">
        <v>151</v>
      </c>
      <c r="B156" s="8" t="n">
        <v>46264</v>
      </c>
      <c r="C156" s="7">
        <f>IF(B156="","미기재",TEXT(B156,"yyyy-mm"))</f>
        <v/>
      </c>
      <c r="D156" s="7" t="inlineStr">
        <is>
          <t>13:29</t>
        </is>
      </c>
      <c r="E156" s="9" t="inlineStr">
        <is>
          <t>Congee Queen (Mississauga)</t>
        </is>
      </c>
      <c r="F156" s="9" t="inlineStr">
        <is>
          <t>Congee Queen (Mississauga)</t>
        </is>
      </c>
      <c r="G156" s="9" t="inlineStr">
        <is>
          <t>1911 Dundas St E, Mississauga</t>
        </is>
      </c>
      <c r="H156" s="7" t="inlineStr">
        <is>
          <t>CAD</t>
        </is>
      </c>
      <c r="I156" s="10" t="n">
        <v>118.04</v>
      </c>
      <c r="J156" s="10" t="n">
        <v>15.34</v>
      </c>
      <c r="K156" s="10" t="n"/>
      <c r="L156" s="10" t="n"/>
      <c r="M156" s="10" t="n">
        <v>133.38</v>
      </c>
      <c r="N156" s="9" t="n"/>
      <c r="O156" s="7" t="inlineStr">
        <is>
          <t>Y</t>
        </is>
      </c>
      <c r="P156" s="9" t="inlineStr">
        <is>
          <t>소계 124.25에서 5% 할인 -6.21 적용 / 동일 사진 2장 업로드(1장만 반영)</t>
        </is>
      </c>
      <c r="Q156" s="9" t="inlineStr">
        <is>
          <t>IMG_5338.HEIC</t>
        </is>
      </c>
    </row>
    <row r="157">
      <c r="A157" s="7" t="n">
        <v>152</v>
      </c>
      <c r="B157" s="8" t="n">
        <v>46265</v>
      </c>
      <c r="C157" s="7">
        <f>IF(B157="","미기재",TEXT(B157,"yyyy-mm"))</f>
        <v/>
      </c>
      <c r="D157" s="7" t="n"/>
      <c r="E157" s="9" t="inlineStr">
        <is>
          <t>Canva (Canva Business 구독)</t>
        </is>
      </c>
      <c r="F157" s="9" t="inlineStr">
        <is>
          <t>Canva (Canva Business 구독)</t>
        </is>
      </c>
      <c r="G157" s="9" t="inlineStr">
        <is>
          <t>온라인</t>
        </is>
      </c>
      <c r="H157" s="7" t="inlineStr">
        <is>
          <t>CAD</t>
        </is>
      </c>
      <c r="I157" s="10" t="n">
        <v>26</v>
      </c>
      <c r="J157" s="10" t="n">
        <v>3.38</v>
      </c>
      <c r="K157" s="10" t="n"/>
      <c r="L157" s="10" t="n"/>
      <c r="M157" s="10" t="n">
        <v>29.38</v>
      </c>
      <c r="N157" s="9" t="n"/>
      <c r="O157" s="7" t="inlineStr">
        <is>
          <t>Y</t>
        </is>
      </c>
      <c r="P157" s="9" t="inlineStr">
        <is>
          <t>Tax Invoice</t>
        </is>
      </c>
      <c r="Q157" s="9" t="inlineStr">
        <is>
          <t>IMG_5610.HEIC</t>
        </is>
      </c>
    </row>
    <row r="158">
      <c r="A158" s="7" t="n">
        <v>153</v>
      </c>
      <c r="B158" s="8" t="n">
        <v>46266</v>
      </c>
      <c r="C158" s="7">
        <f>IF(B158="","미기재",TEXT(B158,"yyyy-mm"))</f>
        <v/>
      </c>
      <c r="D158" s="7" t="n"/>
      <c r="E158" s="9" t="inlineStr">
        <is>
          <t>Anthropic (Claude Pro 연간 구독)</t>
        </is>
      </c>
      <c r="F158" s="9" t="inlineStr">
        <is>
          <t>Anthropic (Claude)</t>
        </is>
      </c>
      <c r="G158" s="9" t="inlineStr">
        <is>
          <t>온라인</t>
        </is>
      </c>
      <c r="H158" s="7" t="inlineStr">
        <is>
          <t>CAD</t>
        </is>
      </c>
      <c r="I158" s="10" t="n">
        <v>277.18</v>
      </c>
      <c r="J158" s="10" t="n">
        <v>36.03</v>
      </c>
      <c r="K158" s="10" t="n"/>
      <c r="L158" s="10" t="n"/>
      <c r="M158" s="10" t="n">
        <v>313.21</v>
      </c>
      <c r="N158" s="9" t="inlineStr">
        <is>
          <t>Mastercard</t>
        </is>
      </c>
      <c r="O158" s="7" t="inlineStr">
        <is>
          <t>Y</t>
        </is>
      </c>
      <c r="P158" s="9" t="inlineStr">
        <is>
          <t>280.00 - 미사용분 크레딧 2.82</t>
        </is>
      </c>
      <c r="Q158" s="9" t="inlineStr">
        <is>
          <t>IMG_5611.HEIC</t>
        </is>
      </c>
    </row>
    <row r="159">
      <c r="A159" s="7" t="n">
        <v>154</v>
      </c>
      <c r="B159" s="8" t="n">
        <v>46268</v>
      </c>
      <c r="C159" s="7">
        <f>IF(B159="","미기재",TEXT(B159,"yyyy-mm"))</f>
        <v/>
      </c>
      <c r="D159" s="7" t="inlineStr">
        <is>
          <t>10:51</t>
        </is>
      </c>
      <c r="E159" s="9" t="inlineStr">
        <is>
          <t>ServiceOntario (MTO) Etobicoke</t>
        </is>
      </c>
      <c r="F159" s="9" t="inlineStr">
        <is>
          <t>ServiceOntario</t>
        </is>
      </c>
      <c r="G159" s="9" t="inlineStr">
        <is>
          <t>250 Wincott Dr, Etobicoke</t>
        </is>
      </c>
      <c r="H159" s="7" t="inlineStr">
        <is>
          <t>CAD</t>
        </is>
      </c>
      <c r="I159" s="10" t="n"/>
      <c r="J159" s="10" t="n"/>
      <c r="K159" s="10" t="n"/>
      <c r="L159" s="10" t="n"/>
      <c r="M159" s="10" t="n">
        <v>12</v>
      </c>
      <c r="N159" s="9" t="inlineStr">
        <is>
          <t>Interac</t>
        </is>
      </c>
      <c r="O159" s="7" t="inlineStr">
        <is>
          <t>Y</t>
        </is>
      </c>
      <c r="P159" s="9" t="inlineStr">
        <is>
          <t>정부 수수료(카드전표만) / 날짜 09-03-2026 표기(9월3일로 해석)</t>
        </is>
      </c>
      <c r="Q159" s="9" t="inlineStr">
        <is>
          <t>IMG_5484.HEIC</t>
        </is>
      </c>
    </row>
    <row r="160">
      <c r="A160" s="7" t="n">
        <v>155</v>
      </c>
      <c r="B160" s="8" t="n">
        <v>46269</v>
      </c>
      <c r="C160" s="7">
        <f>IF(B160="","미기재",TEXT(B160,"yyyy-mm"))</f>
        <v/>
      </c>
      <c r="D160" s="7" t="inlineStr">
        <is>
          <t>17:03</t>
        </is>
      </c>
      <c r="E160" s="9" t="inlineStr">
        <is>
          <t>ServiceOntario (MTO) Etobicoke</t>
        </is>
      </c>
      <c r="F160" s="9" t="inlineStr">
        <is>
          <t>ServiceOntario</t>
        </is>
      </c>
      <c r="G160" s="9" t="inlineStr">
        <is>
          <t>250 Wincott Dr, Etobicoke</t>
        </is>
      </c>
      <c r="H160" s="7" t="inlineStr">
        <is>
          <t>CAD</t>
        </is>
      </c>
      <c r="I160" s="10" t="n"/>
      <c r="J160" s="10" t="n"/>
      <c r="K160" s="10" t="n"/>
      <c r="L160" s="10" t="n"/>
      <c r="M160" s="10" t="n">
        <v>35.75</v>
      </c>
      <c r="N160" s="9" t="inlineStr">
        <is>
          <t>Visa</t>
        </is>
      </c>
      <c r="O160" s="7" t="inlineStr">
        <is>
          <t>Y</t>
        </is>
      </c>
      <c r="P160" s="9" t="inlineStr">
        <is>
          <t>정부 수수료(카드전표만) / 날짜 09-04-2026 표기(9월4일로 해석)</t>
        </is>
      </c>
      <c r="Q160" s="9" t="inlineStr">
        <is>
          <t>IMG_5483.HEIC</t>
        </is>
      </c>
    </row>
    <row r="161">
      <c r="A161" s="7" t="n">
        <v>156</v>
      </c>
      <c r="B161" s="8" t="n">
        <v>46271</v>
      </c>
      <c r="C161" s="7">
        <f>IF(B161="","미기재",TEXT(B161,"yyyy-mm"))</f>
        <v/>
      </c>
      <c r="D161" s="7" t="inlineStr">
        <is>
          <t>18:05</t>
        </is>
      </c>
      <c r="E161" s="9" t="inlineStr">
        <is>
          <t>Mr Puffs North York</t>
        </is>
      </c>
      <c r="F161" s="9" t="inlineStr">
        <is>
          <t>Mr Puffs North York</t>
        </is>
      </c>
      <c r="G161" s="9" t="inlineStr">
        <is>
          <t>808 York Mills Rd, Toronto</t>
        </is>
      </c>
      <c r="H161" s="7" t="inlineStr">
        <is>
          <t>CAD</t>
        </is>
      </c>
      <c r="I161" s="10" t="n">
        <v>24.95</v>
      </c>
      <c r="J161" s="10" t="n">
        <v>0</v>
      </c>
      <c r="K161" s="10" t="n"/>
      <c r="L161" s="10" t="n"/>
      <c r="M161" s="10" t="n">
        <v>24.95</v>
      </c>
      <c r="N161" s="9" t="inlineStr">
        <is>
          <t>UberEats</t>
        </is>
      </c>
      <c r="O161" s="7" t="inlineStr">
        <is>
          <t>Y</t>
        </is>
      </c>
      <c r="P161" s="9" t="inlineStr">
        <is>
          <t>Uber Eats 배달</t>
        </is>
      </c>
      <c r="Q161" s="9" t="inlineStr">
        <is>
          <t>IMG_5335.HEIC</t>
        </is>
      </c>
    </row>
    <row r="162">
      <c r="A162" s="7" t="n">
        <v>157</v>
      </c>
      <c r="B162" s="8" t="n">
        <v>46275</v>
      </c>
      <c r="C162" s="7">
        <f>IF(B162="","미기재",TEXT(B162,"yyyy-mm"))</f>
        <v/>
      </c>
      <c r="D162" s="7" t="n"/>
      <c r="E162" s="9" t="inlineStr">
        <is>
          <t>Mac Outpost</t>
        </is>
      </c>
      <c r="F162" s="9" t="inlineStr">
        <is>
          <t>Mac Outpost</t>
        </is>
      </c>
      <c r="G162" s="9" t="inlineStr">
        <is>
          <t>온라인 (Order #196339)</t>
        </is>
      </c>
      <c r="H162" s="7" t="inlineStr">
        <is>
          <t>CAD</t>
        </is>
      </c>
      <c r="I162" s="10" t="n">
        <v>2099.99</v>
      </c>
      <c r="J162" s="10" t="n">
        <v>273</v>
      </c>
      <c r="K162" s="10" t="n"/>
      <c r="L162" s="10" t="n"/>
      <c r="M162" s="10" t="n">
        <v>2372.99</v>
      </c>
      <c r="N162" s="9" t="inlineStr">
        <is>
          <t>PayPal</t>
        </is>
      </c>
      <c r="O162" s="7" t="inlineStr">
        <is>
          <t>Y</t>
        </is>
      </c>
      <c r="P162" s="9" t="inlineStr">
        <is>
          <t>MacBook Pro 14 M4 Pro / 주문확인서(결제 확인 대기 상태로 표기) / IMG_5650에 동일 주문</t>
        </is>
      </c>
      <c r="Q162" s="9" t="inlineStr">
        <is>
          <t>IMG_5613.HEIC</t>
        </is>
      </c>
    </row>
    <row r="163">
      <c r="A163" s="11" t="n">
        <v>158</v>
      </c>
      <c r="B163" s="12" t="n">
        <v>46275</v>
      </c>
      <c r="C163" s="11">
        <f>IF(B163="","미기재",TEXT(B163,"yyyy-mm"))</f>
        <v/>
      </c>
      <c r="D163" s="11" t="n"/>
      <c r="E163" s="13" t="inlineStr">
        <is>
          <t>Mac Outpost</t>
        </is>
      </c>
      <c r="F163" s="13" t="inlineStr">
        <is>
          <t>Mac Outpost</t>
        </is>
      </c>
      <c r="G163" s="13" t="inlineStr">
        <is>
          <t>온라인 (Order #196339)</t>
        </is>
      </c>
      <c r="H163" s="11" t="inlineStr">
        <is>
          <t>CAD</t>
        </is>
      </c>
      <c r="I163" s="14" t="n"/>
      <c r="J163" s="14" t="n"/>
      <c r="K163" s="14" t="n"/>
      <c r="L163" s="14" t="n"/>
      <c r="M163" s="14" t="n">
        <v>2372.99</v>
      </c>
      <c r="N163" s="13" t="inlineStr">
        <is>
          <t>PayPal</t>
        </is>
      </c>
      <c r="O163" s="11" t="inlineStr">
        <is>
          <t>N</t>
        </is>
      </c>
      <c r="P163" s="13" t="inlineStr">
        <is>
          <t>[중복] IMG_5613과 같은 주문 - 합계 제외 (판매처 Mac Outpost 확인)</t>
        </is>
      </c>
      <c r="Q163" s="13" t="inlineStr">
        <is>
          <t>IMG_5650.HEIC</t>
        </is>
      </c>
    </row>
    <row r="164">
      <c r="A164" s="7" t="n">
        <v>159</v>
      </c>
      <c r="B164" s="8" t="n"/>
      <c r="C164" s="7">
        <f>IF(B164="","미기재",TEXT(B164,"yyyy-mm"))</f>
        <v/>
      </c>
      <c r="D164" s="7" t="n"/>
      <c r="E164" s="9" t="inlineStr">
        <is>
          <t>LCBO (Hurontario Centre)</t>
        </is>
      </c>
      <c r="F164" s="9" t="inlineStr">
        <is>
          <t>LCBO (Hurontario Centre)</t>
        </is>
      </c>
      <c r="G164" s="9" t="inlineStr">
        <is>
          <t>5035 Hurontario St, Mississauga</t>
        </is>
      </c>
      <c r="H164" s="7" t="inlineStr">
        <is>
          <t>CAD</t>
        </is>
      </c>
      <c r="I164" s="10" t="n">
        <v>31.83</v>
      </c>
      <c r="J164" s="10" t="n">
        <v>4.07</v>
      </c>
      <c r="K164" s="10" t="n"/>
      <c r="L164" s="10" t="n"/>
      <c r="M164" s="10" t="n">
        <v>35.9</v>
      </c>
      <c r="N164" s="9" t="inlineStr">
        <is>
          <t>Mastercard</t>
        </is>
      </c>
      <c r="O164" s="7" t="inlineStr">
        <is>
          <t>Y</t>
        </is>
      </c>
      <c r="P164" s="9" t="inlineStr">
        <is>
          <t>주류 / HST는 영수증 미표기(가격 포함) → 35.40×13/113 역산 추정, 소계에 병보증금 0.50 포함 / 날짜 미기재</t>
        </is>
      </c>
      <c r="Q164" s="9" t="inlineStr">
        <is>
          <t>IMG_5575.HEIC</t>
        </is>
      </c>
    </row>
  </sheetData>
  <autoFilter ref="A5:Q1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2" customWidth="1" min="4" max="4"/>
    <col width="11" customWidth="1" min="5" max="5"/>
    <col width="10" customWidth="1" min="6" max="6"/>
    <col width="14" customWidth="1" min="7" max="7"/>
  </cols>
  <sheetData>
    <row r="1">
      <c r="A1" s="15" t="inlineStr">
        <is>
          <t>월별 지출 요약 (CAD, 합계반영=Y)</t>
        </is>
      </c>
    </row>
    <row r="3">
      <c r="A3" s="16" t="inlineStr">
        <is>
          <t>연월</t>
        </is>
      </c>
      <c r="B3" s="16" t="inlineStr">
        <is>
          <t>건수</t>
        </is>
      </c>
      <c r="C3" s="16" t="inlineStr">
        <is>
          <t>소계(세전)</t>
        </is>
      </c>
      <c r="D3" s="16" t="inlineStr">
        <is>
          <t>HST</t>
        </is>
      </c>
      <c r="E3" s="16" t="inlineStr">
        <is>
          <t>기타세금</t>
        </is>
      </c>
      <c r="F3" s="16" t="inlineStr">
        <is>
          <t>팁</t>
        </is>
      </c>
      <c r="G3" s="16" t="inlineStr">
        <is>
          <t>합계</t>
        </is>
      </c>
    </row>
    <row r="4">
      <c r="A4" s="9" t="inlineStr">
        <is>
          <t>2025-01</t>
        </is>
      </c>
      <c r="B4" s="9">
        <f>COUNTIFS('영수증 내역'!$O$6:$O$164,"Y",'영수증 내역'!$H$6:$H$164,"CAD",'영수증 내역'!$C$6:$C$164,$A4)</f>
        <v/>
      </c>
      <c r="C4" s="10">
        <f>SUMIFS('영수증 내역'!$I$6:$I$164,'영수증 내역'!$O$6:$O$164,"Y",'영수증 내역'!$H$6:$H$164,"CAD",'영수증 내역'!$C$6:$C$164,$A4)</f>
        <v/>
      </c>
      <c r="D4" s="10">
        <f>SUMIFS('영수증 내역'!$J$6:$J$164,'영수증 내역'!$O$6:$O$164,"Y",'영수증 내역'!$H$6:$H$164,"CAD",'영수증 내역'!$C$6:$C$164,$A4)</f>
        <v/>
      </c>
      <c r="E4" s="10">
        <f>SUMIFS('영수증 내역'!$K$6:$K$164,'영수증 내역'!$O$6:$O$164,"Y",'영수증 내역'!$H$6:$H$164,"CAD",'영수증 내역'!$C$6:$C$164,$A4)</f>
        <v/>
      </c>
      <c r="F4" s="10">
        <f>SUMIFS('영수증 내역'!$L$6:$L$164,'영수증 내역'!$O$6:$O$164,"Y",'영수증 내역'!$H$6:$H$164,"CAD",'영수증 내역'!$C$6:$C$164,$A4)</f>
        <v/>
      </c>
      <c r="G4" s="10">
        <f>SUMIFS('영수증 내역'!$M$6:$M$164,'영수증 내역'!$O$6:$O$164,"Y",'영수증 내역'!$H$6:$H$164,"CAD",'영수증 내역'!$C$6:$C$164,$A4)</f>
        <v/>
      </c>
    </row>
    <row r="5">
      <c r="A5" s="9" t="inlineStr">
        <is>
          <t>2025-07</t>
        </is>
      </c>
      <c r="B5" s="9">
        <f>COUNTIFS('영수증 내역'!$O$6:$O$164,"Y",'영수증 내역'!$H$6:$H$164,"CAD",'영수증 내역'!$C$6:$C$164,$A5)</f>
        <v/>
      </c>
      <c r="C5" s="10">
        <f>SUMIFS('영수증 내역'!$I$6:$I$164,'영수증 내역'!$O$6:$O$164,"Y",'영수증 내역'!$H$6:$H$164,"CAD",'영수증 내역'!$C$6:$C$164,$A5)</f>
        <v/>
      </c>
      <c r="D5" s="10">
        <f>SUMIFS('영수증 내역'!$J$6:$J$164,'영수증 내역'!$O$6:$O$164,"Y",'영수증 내역'!$H$6:$H$164,"CAD",'영수증 내역'!$C$6:$C$164,$A5)</f>
        <v/>
      </c>
      <c r="E5" s="10">
        <f>SUMIFS('영수증 내역'!$K$6:$K$164,'영수증 내역'!$O$6:$O$164,"Y",'영수증 내역'!$H$6:$H$164,"CAD",'영수증 내역'!$C$6:$C$164,$A5)</f>
        <v/>
      </c>
      <c r="F5" s="10">
        <f>SUMIFS('영수증 내역'!$L$6:$L$164,'영수증 내역'!$O$6:$O$164,"Y",'영수증 내역'!$H$6:$H$164,"CAD",'영수증 내역'!$C$6:$C$164,$A5)</f>
        <v/>
      </c>
      <c r="G5" s="10">
        <f>SUMIFS('영수증 내역'!$M$6:$M$164,'영수증 내역'!$O$6:$O$164,"Y",'영수증 내역'!$H$6:$H$164,"CAD",'영수증 내역'!$C$6:$C$164,$A5)</f>
        <v/>
      </c>
    </row>
    <row r="6">
      <c r="A6" s="9" t="inlineStr">
        <is>
          <t>2025-08</t>
        </is>
      </c>
      <c r="B6" s="9">
        <f>COUNTIFS('영수증 내역'!$O$6:$O$164,"Y",'영수증 내역'!$H$6:$H$164,"CAD",'영수증 내역'!$C$6:$C$164,$A6)</f>
        <v/>
      </c>
      <c r="C6" s="10">
        <f>SUMIFS('영수증 내역'!$I$6:$I$164,'영수증 내역'!$O$6:$O$164,"Y",'영수증 내역'!$H$6:$H$164,"CAD",'영수증 내역'!$C$6:$C$164,$A6)</f>
        <v/>
      </c>
      <c r="D6" s="10">
        <f>SUMIFS('영수증 내역'!$J$6:$J$164,'영수증 내역'!$O$6:$O$164,"Y",'영수증 내역'!$H$6:$H$164,"CAD",'영수증 내역'!$C$6:$C$164,$A6)</f>
        <v/>
      </c>
      <c r="E6" s="10">
        <f>SUMIFS('영수증 내역'!$K$6:$K$164,'영수증 내역'!$O$6:$O$164,"Y",'영수증 내역'!$H$6:$H$164,"CAD",'영수증 내역'!$C$6:$C$164,$A6)</f>
        <v/>
      </c>
      <c r="F6" s="10">
        <f>SUMIFS('영수증 내역'!$L$6:$L$164,'영수증 내역'!$O$6:$O$164,"Y",'영수증 내역'!$H$6:$H$164,"CAD",'영수증 내역'!$C$6:$C$164,$A6)</f>
        <v/>
      </c>
      <c r="G6" s="10">
        <f>SUMIFS('영수증 내역'!$M$6:$M$164,'영수증 내역'!$O$6:$O$164,"Y",'영수증 내역'!$H$6:$H$164,"CAD",'영수증 내역'!$C$6:$C$164,$A6)</f>
        <v/>
      </c>
    </row>
    <row r="7">
      <c r="A7" s="9" t="inlineStr">
        <is>
          <t>2025-09</t>
        </is>
      </c>
      <c r="B7" s="9">
        <f>COUNTIFS('영수증 내역'!$O$6:$O$164,"Y",'영수증 내역'!$H$6:$H$164,"CAD",'영수증 내역'!$C$6:$C$164,$A7)</f>
        <v/>
      </c>
      <c r="C7" s="10">
        <f>SUMIFS('영수증 내역'!$I$6:$I$164,'영수증 내역'!$O$6:$O$164,"Y",'영수증 내역'!$H$6:$H$164,"CAD",'영수증 내역'!$C$6:$C$164,$A7)</f>
        <v/>
      </c>
      <c r="D7" s="10">
        <f>SUMIFS('영수증 내역'!$J$6:$J$164,'영수증 내역'!$O$6:$O$164,"Y",'영수증 내역'!$H$6:$H$164,"CAD",'영수증 내역'!$C$6:$C$164,$A7)</f>
        <v/>
      </c>
      <c r="E7" s="10">
        <f>SUMIFS('영수증 내역'!$K$6:$K$164,'영수증 내역'!$O$6:$O$164,"Y",'영수증 내역'!$H$6:$H$164,"CAD",'영수증 내역'!$C$6:$C$164,$A7)</f>
        <v/>
      </c>
      <c r="F7" s="10">
        <f>SUMIFS('영수증 내역'!$L$6:$L$164,'영수증 내역'!$O$6:$O$164,"Y",'영수증 내역'!$H$6:$H$164,"CAD",'영수증 내역'!$C$6:$C$164,$A7)</f>
        <v/>
      </c>
      <c r="G7" s="10">
        <f>SUMIFS('영수증 내역'!$M$6:$M$164,'영수증 내역'!$O$6:$O$164,"Y",'영수증 내역'!$H$6:$H$164,"CAD",'영수증 내역'!$C$6:$C$164,$A7)</f>
        <v/>
      </c>
    </row>
    <row r="8">
      <c r="A8" s="9" t="inlineStr">
        <is>
          <t>2025-10</t>
        </is>
      </c>
      <c r="B8" s="9">
        <f>COUNTIFS('영수증 내역'!$O$6:$O$164,"Y",'영수증 내역'!$H$6:$H$164,"CAD",'영수증 내역'!$C$6:$C$164,$A8)</f>
        <v/>
      </c>
      <c r="C8" s="10">
        <f>SUMIFS('영수증 내역'!$I$6:$I$164,'영수증 내역'!$O$6:$O$164,"Y",'영수증 내역'!$H$6:$H$164,"CAD",'영수증 내역'!$C$6:$C$164,$A8)</f>
        <v/>
      </c>
      <c r="D8" s="10">
        <f>SUMIFS('영수증 내역'!$J$6:$J$164,'영수증 내역'!$O$6:$O$164,"Y",'영수증 내역'!$H$6:$H$164,"CAD",'영수증 내역'!$C$6:$C$164,$A8)</f>
        <v/>
      </c>
      <c r="E8" s="10">
        <f>SUMIFS('영수증 내역'!$K$6:$K$164,'영수증 내역'!$O$6:$O$164,"Y",'영수증 내역'!$H$6:$H$164,"CAD",'영수증 내역'!$C$6:$C$164,$A8)</f>
        <v/>
      </c>
      <c r="F8" s="10">
        <f>SUMIFS('영수증 내역'!$L$6:$L$164,'영수증 내역'!$O$6:$O$164,"Y",'영수증 내역'!$H$6:$H$164,"CAD",'영수증 내역'!$C$6:$C$164,$A8)</f>
        <v/>
      </c>
      <c r="G8" s="10">
        <f>SUMIFS('영수증 내역'!$M$6:$M$164,'영수증 내역'!$O$6:$O$164,"Y",'영수증 내역'!$H$6:$H$164,"CAD",'영수증 내역'!$C$6:$C$164,$A8)</f>
        <v/>
      </c>
    </row>
    <row r="9">
      <c r="A9" s="9" t="inlineStr">
        <is>
          <t>2025-11</t>
        </is>
      </c>
      <c r="B9" s="9">
        <f>COUNTIFS('영수증 내역'!$O$6:$O$164,"Y",'영수증 내역'!$H$6:$H$164,"CAD",'영수증 내역'!$C$6:$C$164,$A9)</f>
        <v/>
      </c>
      <c r="C9" s="10">
        <f>SUMIFS('영수증 내역'!$I$6:$I$164,'영수증 내역'!$O$6:$O$164,"Y",'영수증 내역'!$H$6:$H$164,"CAD",'영수증 내역'!$C$6:$C$164,$A9)</f>
        <v/>
      </c>
      <c r="D9" s="10">
        <f>SUMIFS('영수증 내역'!$J$6:$J$164,'영수증 내역'!$O$6:$O$164,"Y",'영수증 내역'!$H$6:$H$164,"CAD",'영수증 내역'!$C$6:$C$164,$A9)</f>
        <v/>
      </c>
      <c r="E9" s="10">
        <f>SUMIFS('영수증 내역'!$K$6:$K$164,'영수증 내역'!$O$6:$O$164,"Y",'영수증 내역'!$H$6:$H$164,"CAD",'영수증 내역'!$C$6:$C$164,$A9)</f>
        <v/>
      </c>
      <c r="F9" s="10">
        <f>SUMIFS('영수증 내역'!$L$6:$L$164,'영수증 내역'!$O$6:$O$164,"Y",'영수증 내역'!$H$6:$H$164,"CAD",'영수증 내역'!$C$6:$C$164,$A9)</f>
        <v/>
      </c>
      <c r="G9" s="10">
        <f>SUMIFS('영수증 내역'!$M$6:$M$164,'영수증 내역'!$O$6:$O$164,"Y",'영수증 내역'!$H$6:$H$164,"CAD",'영수증 내역'!$C$6:$C$164,$A9)</f>
        <v/>
      </c>
    </row>
    <row r="10">
      <c r="A10" s="9" t="inlineStr">
        <is>
          <t>2025-12</t>
        </is>
      </c>
      <c r="B10" s="9">
        <f>COUNTIFS('영수증 내역'!$O$6:$O$164,"Y",'영수증 내역'!$H$6:$H$164,"CAD",'영수증 내역'!$C$6:$C$164,$A10)</f>
        <v/>
      </c>
      <c r="C10" s="10">
        <f>SUMIFS('영수증 내역'!$I$6:$I$164,'영수증 내역'!$O$6:$O$164,"Y",'영수증 내역'!$H$6:$H$164,"CAD",'영수증 내역'!$C$6:$C$164,$A10)</f>
        <v/>
      </c>
      <c r="D10" s="10">
        <f>SUMIFS('영수증 내역'!$J$6:$J$164,'영수증 내역'!$O$6:$O$164,"Y",'영수증 내역'!$H$6:$H$164,"CAD",'영수증 내역'!$C$6:$C$164,$A10)</f>
        <v/>
      </c>
      <c r="E10" s="10">
        <f>SUMIFS('영수증 내역'!$K$6:$K$164,'영수증 내역'!$O$6:$O$164,"Y",'영수증 내역'!$H$6:$H$164,"CAD",'영수증 내역'!$C$6:$C$164,$A10)</f>
        <v/>
      </c>
      <c r="F10" s="10">
        <f>SUMIFS('영수증 내역'!$L$6:$L$164,'영수증 내역'!$O$6:$O$164,"Y",'영수증 내역'!$H$6:$H$164,"CAD",'영수증 내역'!$C$6:$C$164,$A10)</f>
        <v/>
      </c>
      <c r="G10" s="10">
        <f>SUMIFS('영수증 내역'!$M$6:$M$164,'영수증 내역'!$O$6:$O$164,"Y",'영수증 내역'!$H$6:$H$164,"CAD",'영수증 내역'!$C$6:$C$164,$A10)</f>
        <v/>
      </c>
    </row>
    <row r="11">
      <c r="A11" s="9" t="inlineStr">
        <is>
          <t>2026-01</t>
        </is>
      </c>
      <c r="B11" s="9">
        <f>COUNTIFS('영수증 내역'!$O$6:$O$164,"Y",'영수증 내역'!$H$6:$H$164,"CAD",'영수증 내역'!$C$6:$C$164,$A11)</f>
        <v/>
      </c>
      <c r="C11" s="10">
        <f>SUMIFS('영수증 내역'!$I$6:$I$164,'영수증 내역'!$O$6:$O$164,"Y",'영수증 내역'!$H$6:$H$164,"CAD",'영수증 내역'!$C$6:$C$164,$A11)</f>
        <v/>
      </c>
      <c r="D11" s="10">
        <f>SUMIFS('영수증 내역'!$J$6:$J$164,'영수증 내역'!$O$6:$O$164,"Y",'영수증 내역'!$H$6:$H$164,"CAD",'영수증 내역'!$C$6:$C$164,$A11)</f>
        <v/>
      </c>
      <c r="E11" s="10">
        <f>SUMIFS('영수증 내역'!$K$6:$K$164,'영수증 내역'!$O$6:$O$164,"Y",'영수증 내역'!$H$6:$H$164,"CAD",'영수증 내역'!$C$6:$C$164,$A11)</f>
        <v/>
      </c>
      <c r="F11" s="10">
        <f>SUMIFS('영수증 내역'!$L$6:$L$164,'영수증 내역'!$O$6:$O$164,"Y",'영수증 내역'!$H$6:$H$164,"CAD",'영수증 내역'!$C$6:$C$164,$A11)</f>
        <v/>
      </c>
      <c r="G11" s="10">
        <f>SUMIFS('영수증 내역'!$M$6:$M$164,'영수증 내역'!$O$6:$O$164,"Y",'영수증 내역'!$H$6:$H$164,"CAD",'영수증 내역'!$C$6:$C$164,$A11)</f>
        <v/>
      </c>
    </row>
    <row r="12">
      <c r="A12" s="9" t="inlineStr">
        <is>
          <t>2026-02</t>
        </is>
      </c>
      <c r="B12" s="9">
        <f>COUNTIFS('영수증 내역'!$O$6:$O$164,"Y",'영수증 내역'!$H$6:$H$164,"CAD",'영수증 내역'!$C$6:$C$164,$A12)</f>
        <v/>
      </c>
      <c r="C12" s="10">
        <f>SUMIFS('영수증 내역'!$I$6:$I$164,'영수증 내역'!$O$6:$O$164,"Y",'영수증 내역'!$H$6:$H$164,"CAD",'영수증 내역'!$C$6:$C$164,$A12)</f>
        <v/>
      </c>
      <c r="D12" s="10">
        <f>SUMIFS('영수증 내역'!$J$6:$J$164,'영수증 내역'!$O$6:$O$164,"Y",'영수증 내역'!$H$6:$H$164,"CAD",'영수증 내역'!$C$6:$C$164,$A12)</f>
        <v/>
      </c>
      <c r="E12" s="10">
        <f>SUMIFS('영수증 내역'!$K$6:$K$164,'영수증 내역'!$O$6:$O$164,"Y",'영수증 내역'!$H$6:$H$164,"CAD",'영수증 내역'!$C$6:$C$164,$A12)</f>
        <v/>
      </c>
      <c r="F12" s="10">
        <f>SUMIFS('영수증 내역'!$L$6:$L$164,'영수증 내역'!$O$6:$O$164,"Y",'영수증 내역'!$H$6:$H$164,"CAD",'영수증 내역'!$C$6:$C$164,$A12)</f>
        <v/>
      </c>
      <c r="G12" s="10">
        <f>SUMIFS('영수증 내역'!$M$6:$M$164,'영수증 내역'!$O$6:$O$164,"Y",'영수증 내역'!$H$6:$H$164,"CAD",'영수증 내역'!$C$6:$C$164,$A12)</f>
        <v/>
      </c>
    </row>
    <row r="13">
      <c r="A13" s="9" t="inlineStr">
        <is>
          <t>2026-03</t>
        </is>
      </c>
      <c r="B13" s="9">
        <f>COUNTIFS('영수증 내역'!$O$6:$O$164,"Y",'영수증 내역'!$H$6:$H$164,"CAD",'영수증 내역'!$C$6:$C$164,$A13)</f>
        <v/>
      </c>
      <c r="C13" s="10">
        <f>SUMIFS('영수증 내역'!$I$6:$I$164,'영수증 내역'!$O$6:$O$164,"Y",'영수증 내역'!$H$6:$H$164,"CAD",'영수증 내역'!$C$6:$C$164,$A13)</f>
        <v/>
      </c>
      <c r="D13" s="10">
        <f>SUMIFS('영수증 내역'!$J$6:$J$164,'영수증 내역'!$O$6:$O$164,"Y",'영수증 내역'!$H$6:$H$164,"CAD",'영수증 내역'!$C$6:$C$164,$A13)</f>
        <v/>
      </c>
      <c r="E13" s="10">
        <f>SUMIFS('영수증 내역'!$K$6:$K$164,'영수증 내역'!$O$6:$O$164,"Y",'영수증 내역'!$H$6:$H$164,"CAD",'영수증 내역'!$C$6:$C$164,$A13)</f>
        <v/>
      </c>
      <c r="F13" s="10">
        <f>SUMIFS('영수증 내역'!$L$6:$L$164,'영수증 내역'!$O$6:$O$164,"Y",'영수증 내역'!$H$6:$H$164,"CAD",'영수증 내역'!$C$6:$C$164,$A13)</f>
        <v/>
      </c>
      <c r="G13" s="10">
        <f>SUMIFS('영수증 내역'!$M$6:$M$164,'영수증 내역'!$O$6:$O$164,"Y",'영수증 내역'!$H$6:$H$164,"CAD",'영수증 내역'!$C$6:$C$164,$A13)</f>
        <v/>
      </c>
    </row>
    <row r="14">
      <c r="A14" s="9" t="inlineStr">
        <is>
          <t>2026-04</t>
        </is>
      </c>
      <c r="B14" s="9">
        <f>COUNTIFS('영수증 내역'!$O$6:$O$164,"Y",'영수증 내역'!$H$6:$H$164,"CAD",'영수증 내역'!$C$6:$C$164,$A14)</f>
        <v/>
      </c>
      <c r="C14" s="10">
        <f>SUMIFS('영수증 내역'!$I$6:$I$164,'영수증 내역'!$O$6:$O$164,"Y",'영수증 내역'!$H$6:$H$164,"CAD",'영수증 내역'!$C$6:$C$164,$A14)</f>
        <v/>
      </c>
      <c r="D14" s="10">
        <f>SUMIFS('영수증 내역'!$J$6:$J$164,'영수증 내역'!$O$6:$O$164,"Y",'영수증 내역'!$H$6:$H$164,"CAD",'영수증 내역'!$C$6:$C$164,$A14)</f>
        <v/>
      </c>
      <c r="E14" s="10">
        <f>SUMIFS('영수증 내역'!$K$6:$K$164,'영수증 내역'!$O$6:$O$164,"Y",'영수증 내역'!$H$6:$H$164,"CAD",'영수증 내역'!$C$6:$C$164,$A14)</f>
        <v/>
      </c>
      <c r="F14" s="10">
        <f>SUMIFS('영수증 내역'!$L$6:$L$164,'영수증 내역'!$O$6:$O$164,"Y",'영수증 내역'!$H$6:$H$164,"CAD",'영수증 내역'!$C$6:$C$164,$A14)</f>
        <v/>
      </c>
      <c r="G14" s="10">
        <f>SUMIFS('영수증 내역'!$M$6:$M$164,'영수증 내역'!$O$6:$O$164,"Y",'영수증 내역'!$H$6:$H$164,"CAD",'영수증 내역'!$C$6:$C$164,$A14)</f>
        <v/>
      </c>
    </row>
    <row r="15">
      <c r="A15" s="9" t="inlineStr">
        <is>
          <t>2026-05</t>
        </is>
      </c>
      <c r="B15" s="9">
        <f>COUNTIFS('영수증 내역'!$O$6:$O$164,"Y",'영수증 내역'!$H$6:$H$164,"CAD",'영수증 내역'!$C$6:$C$164,$A15)</f>
        <v/>
      </c>
      <c r="C15" s="10">
        <f>SUMIFS('영수증 내역'!$I$6:$I$164,'영수증 내역'!$O$6:$O$164,"Y",'영수증 내역'!$H$6:$H$164,"CAD",'영수증 내역'!$C$6:$C$164,$A15)</f>
        <v/>
      </c>
      <c r="D15" s="10">
        <f>SUMIFS('영수증 내역'!$J$6:$J$164,'영수증 내역'!$O$6:$O$164,"Y",'영수증 내역'!$H$6:$H$164,"CAD",'영수증 내역'!$C$6:$C$164,$A15)</f>
        <v/>
      </c>
      <c r="E15" s="10">
        <f>SUMIFS('영수증 내역'!$K$6:$K$164,'영수증 내역'!$O$6:$O$164,"Y",'영수증 내역'!$H$6:$H$164,"CAD",'영수증 내역'!$C$6:$C$164,$A15)</f>
        <v/>
      </c>
      <c r="F15" s="10">
        <f>SUMIFS('영수증 내역'!$L$6:$L$164,'영수증 내역'!$O$6:$O$164,"Y",'영수증 내역'!$H$6:$H$164,"CAD",'영수증 내역'!$C$6:$C$164,$A15)</f>
        <v/>
      </c>
      <c r="G15" s="10">
        <f>SUMIFS('영수증 내역'!$M$6:$M$164,'영수증 내역'!$O$6:$O$164,"Y",'영수증 내역'!$H$6:$H$164,"CAD",'영수증 내역'!$C$6:$C$164,$A15)</f>
        <v/>
      </c>
    </row>
    <row r="16">
      <c r="A16" s="9" t="inlineStr">
        <is>
          <t>2026-06</t>
        </is>
      </c>
      <c r="B16" s="9">
        <f>COUNTIFS('영수증 내역'!$O$6:$O$164,"Y",'영수증 내역'!$H$6:$H$164,"CAD",'영수증 내역'!$C$6:$C$164,$A16)</f>
        <v/>
      </c>
      <c r="C16" s="10">
        <f>SUMIFS('영수증 내역'!$I$6:$I$164,'영수증 내역'!$O$6:$O$164,"Y",'영수증 내역'!$H$6:$H$164,"CAD",'영수증 내역'!$C$6:$C$164,$A16)</f>
        <v/>
      </c>
      <c r="D16" s="10">
        <f>SUMIFS('영수증 내역'!$J$6:$J$164,'영수증 내역'!$O$6:$O$164,"Y",'영수증 내역'!$H$6:$H$164,"CAD",'영수증 내역'!$C$6:$C$164,$A16)</f>
        <v/>
      </c>
      <c r="E16" s="10">
        <f>SUMIFS('영수증 내역'!$K$6:$K$164,'영수증 내역'!$O$6:$O$164,"Y",'영수증 내역'!$H$6:$H$164,"CAD",'영수증 내역'!$C$6:$C$164,$A16)</f>
        <v/>
      </c>
      <c r="F16" s="10">
        <f>SUMIFS('영수증 내역'!$L$6:$L$164,'영수증 내역'!$O$6:$O$164,"Y",'영수증 내역'!$H$6:$H$164,"CAD",'영수증 내역'!$C$6:$C$164,$A16)</f>
        <v/>
      </c>
      <c r="G16" s="10">
        <f>SUMIFS('영수증 내역'!$M$6:$M$164,'영수증 내역'!$O$6:$O$164,"Y",'영수증 내역'!$H$6:$H$164,"CAD",'영수증 내역'!$C$6:$C$164,$A16)</f>
        <v/>
      </c>
    </row>
    <row r="17">
      <c r="A17" s="9" t="inlineStr">
        <is>
          <t>2026-07</t>
        </is>
      </c>
      <c r="B17" s="9">
        <f>COUNTIFS('영수증 내역'!$O$6:$O$164,"Y",'영수증 내역'!$H$6:$H$164,"CAD",'영수증 내역'!$C$6:$C$164,$A17)</f>
        <v/>
      </c>
      <c r="C17" s="10">
        <f>SUMIFS('영수증 내역'!$I$6:$I$164,'영수증 내역'!$O$6:$O$164,"Y",'영수증 내역'!$H$6:$H$164,"CAD",'영수증 내역'!$C$6:$C$164,$A17)</f>
        <v/>
      </c>
      <c r="D17" s="10">
        <f>SUMIFS('영수증 내역'!$J$6:$J$164,'영수증 내역'!$O$6:$O$164,"Y",'영수증 내역'!$H$6:$H$164,"CAD",'영수증 내역'!$C$6:$C$164,$A17)</f>
        <v/>
      </c>
      <c r="E17" s="10">
        <f>SUMIFS('영수증 내역'!$K$6:$K$164,'영수증 내역'!$O$6:$O$164,"Y",'영수증 내역'!$H$6:$H$164,"CAD",'영수증 내역'!$C$6:$C$164,$A17)</f>
        <v/>
      </c>
      <c r="F17" s="10">
        <f>SUMIFS('영수증 내역'!$L$6:$L$164,'영수증 내역'!$O$6:$O$164,"Y",'영수증 내역'!$H$6:$H$164,"CAD",'영수증 내역'!$C$6:$C$164,$A17)</f>
        <v/>
      </c>
      <c r="G17" s="10">
        <f>SUMIFS('영수증 내역'!$M$6:$M$164,'영수증 내역'!$O$6:$O$164,"Y",'영수증 내역'!$H$6:$H$164,"CAD",'영수증 내역'!$C$6:$C$164,$A17)</f>
        <v/>
      </c>
    </row>
    <row r="18">
      <c r="A18" s="9" t="inlineStr">
        <is>
          <t>2026-08</t>
        </is>
      </c>
      <c r="B18" s="9">
        <f>COUNTIFS('영수증 내역'!$O$6:$O$164,"Y",'영수증 내역'!$H$6:$H$164,"CAD",'영수증 내역'!$C$6:$C$164,$A18)</f>
        <v/>
      </c>
      <c r="C18" s="10">
        <f>SUMIFS('영수증 내역'!$I$6:$I$164,'영수증 내역'!$O$6:$O$164,"Y",'영수증 내역'!$H$6:$H$164,"CAD",'영수증 내역'!$C$6:$C$164,$A18)</f>
        <v/>
      </c>
      <c r="D18" s="10">
        <f>SUMIFS('영수증 내역'!$J$6:$J$164,'영수증 내역'!$O$6:$O$164,"Y",'영수증 내역'!$H$6:$H$164,"CAD",'영수증 내역'!$C$6:$C$164,$A18)</f>
        <v/>
      </c>
      <c r="E18" s="10">
        <f>SUMIFS('영수증 내역'!$K$6:$K$164,'영수증 내역'!$O$6:$O$164,"Y",'영수증 내역'!$H$6:$H$164,"CAD",'영수증 내역'!$C$6:$C$164,$A18)</f>
        <v/>
      </c>
      <c r="F18" s="10">
        <f>SUMIFS('영수증 내역'!$L$6:$L$164,'영수증 내역'!$O$6:$O$164,"Y",'영수증 내역'!$H$6:$H$164,"CAD",'영수증 내역'!$C$6:$C$164,$A18)</f>
        <v/>
      </c>
      <c r="G18" s="10">
        <f>SUMIFS('영수증 내역'!$M$6:$M$164,'영수증 내역'!$O$6:$O$164,"Y",'영수증 내역'!$H$6:$H$164,"CAD",'영수증 내역'!$C$6:$C$164,$A18)</f>
        <v/>
      </c>
    </row>
    <row r="19">
      <c r="A19" s="9" t="inlineStr">
        <is>
          <t>2026-09</t>
        </is>
      </c>
      <c r="B19" s="9">
        <f>COUNTIFS('영수증 내역'!$O$6:$O$164,"Y",'영수증 내역'!$H$6:$H$164,"CAD",'영수증 내역'!$C$6:$C$164,$A19)</f>
        <v/>
      </c>
      <c r="C19" s="10">
        <f>SUMIFS('영수증 내역'!$I$6:$I$164,'영수증 내역'!$O$6:$O$164,"Y",'영수증 내역'!$H$6:$H$164,"CAD",'영수증 내역'!$C$6:$C$164,$A19)</f>
        <v/>
      </c>
      <c r="D19" s="10">
        <f>SUMIFS('영수증 내역'!$J$6:$J$164,'영수증 내역'!$O$6:$O$164,"Y",'영수증 내역'!$H$6:$H$164,"CAD",'영수증 내역'!$C$6:$C$164,$A19)</f>
        <v/>
      </c>
      <c r="E19" s="10">
        <f>SUMIFS('영수증 내역'!$K$6:$K$164,'영수증 내역'!$O$6:$O$164,"Y",'영수증 내역'!$H$6:$H$164,"CAD",'영수증 내역'!$C$6:$C$164,$A19)</f>
        <v/>
      </c>
      <c r="F19" s="10">
        <f>SUMIFS('영수증 내역'!$L$6:$L$164,'영수증 내역'!$O$6:$O$164,"Y",'영수증 내역'!$H$6:$H$164,"CAD",'영수증 내역'!$C$6:$C$164,$A19)</f>
        <v/>
      </c>
      <c r="G19" s="10">
        <f>SUMIFS('영수증 내역'!$M$6:$M$164,'영수증 내역'!$O$6:$O$164,"Y",'영수증 내역'!$H$6:$H$164,"CAD",'영수증 내역'!$C$6:$C$164,$A19)</f>
        <v/>
      </c>
    </row>
    <row r="20">
      <c r="A20" s="9" t="inlineStr">
        <is>
          <t>미기재</t>
        </is>
      </c>
      <c r="B20" s="9">
        <f>COUNTIFS('영수증 내역'!$O$6:$O$164,"Y",'영수증 내역'!$H$6:$H$164,"CAD",'영수증 내역'!$C$6:$C$164,$A20)</f>
        <v/>
      </c>
      <c r="C20" s="10">
        <f>SUMIFS('영수증 내역'!$I$6:$I$164,'영수증 내역'!$O$6:$O$164,"Y",'영수증 내역'!$H$6:$H$164,"CAD",'영수증 내역'!$C$6:$C$164,$A20)</f>
        <v/>
      </c>
      <c r="D20" s="10">
        <f>SUMIFS('영수증 내역'!$J$6:$J$164,'영수증 내역'!$O$6:$O$164,"Y",'영수증 내역'!$H$6:$H$164,"CAD",'영수증 내역'!$C$6:$C$164,$A20)</f>
        <v/>
      </c>
      <c r="E20" s="10">
        <f>SUMIFS('영수증 내역'!$K$6:$K$164,'영수증 내역'!$O$6:$O$164,"Y",'영수증 내역'!$H$6:$H$164,"CAD",'영수증 내역'!$C$6:$C$164,$A20)</f>
        <v/>
      </c>
      <c r="F20" s="10">
        <f>SUMIFS('영수증 내역'!$L$6:$L$164,'영수증 내역'!$O$6:$O$164,"Y",'영수증 내역'!$H$6:$H$164,"CAD",'영수증 내역'!$C$6:$C$164,$A20)</f>
        <v/>
      </c>
      <c r="G20" s="10">
        <f>SUMIFS('영수증 내역'!$M$6:$M$164,'영수증 내역'!$O$6:$O$164,"Y",'영수증 내역'!$H$6:$H$164,"CAD",'영수증 내역'!$C$6:$C$164,$A20)</f>
        <v/>
      </c>
    </row>
    <row r="21">
      <c r="A21" s="3" t="inlineStr">
        <is>
          <t>합계</t>
        </is>
      </c>
      <c r="B21" s="17">
        <f>SUM(B4:B20)</f>
        <v/>
      </c>
      <c r="C21" s="4">
        <f>SUM(C4:C20)</f>
        <v/>
      </c>
      <c r="D21" s="4">
        <f>SUM(D4:D20)</f>
        <v/>
      </c>
      <c r="E21" s="4">
        <f>SUM(E4:E20)</f>
        <v/>
      </c>
      <c r="F21" s="4">
        <f>SUM(F4:F20)</f>
        <v/>
      </c>
      <c r="G21" s="4">
        <f>SUM(G4:G20)</f>
        <v/>
      </c>
    </row>
    <row r="23">
      <c r="A23" s="2" t="inlineStr">
        <is>
          <t>※ 미국 영수증(USD) 2건은 이 표에서 제외됨 → 구입처별 요약 하단 참고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14" customWidth="1" min="4" max="4"/>
    <col width="12" customWidth="1" min="5" max="5"/>
    <col width="11" customWidth="1" min="6" max="6"/>
    <col width="10" customWidth="1" min="7" max="7"/>
    <col width="14" customWidth="1" min="8" max="8"/>
  </cols>
  <sheetData>
    <row r="1">
      <c r="A1" s="15" t="inlineStr">
        <is>
          <t>구입처별 지출 요약 (합계반영=Y, 합계 큰 순)</t>
        </is>
      </c>
    </row>
    <row r="3">
      <c r="A3" s="16" t="inlineStr">
        <is>
          <t>구입처 그룹</t>
        </is>
      </c>
      <c r="B3" s="16" t="inlineStr">
        <is>
          <t>통화</t>
        </is>
      </c>
      <c r="C3" s="16" t="inlineStr">
        <is>
          <t>건수</t>
        </is>
      </c>
      <c r="D3" s="16" t="inlineStr">
        <is>
          <t>소계(세전)</t>
        </is>
      </c>
      <c r="E3" s="16" t="inlineStr">
        <is>
          <t>HST</t>
        </is>
      </c>
      <c r="F3" s="16" t="inlineStr">
        <is>
          <t>기타세금</t>
        </is>
      </c>
      <c r="G3" s="16" t="inlineStr">
        <is>
          <t>팁</t>
        </is>
      </c>
      <c r="H3" s="16" t="inlineStr">
        <is>
          <t>합계</t>
        </is>
      </c>
    </row>
    <row r="4">
      <c r="A4" s="9" t="inlineStr">
        <is>
          <t>Costco.ca (온라인)</t>
        </is>
      </c>
      <c r="B4" s="7" t="inlineStr">
        <is>
          <t>CAD</t>
        </is>
      </c>
      <c r="C4" s="9">
        <f>COUNTIFS('영수증 내역'!$O$6:$O$164,"Y",'영수증 내역'!$F$6:$F$164,$A4,'영수증 내역'!$H$6:$H$164,$B4)</f>
        <v/>
      </c>
      <c r="D4" s="10">
        <f>SUMIFS('영수증 내역'!$I$6:$I$164,'영수증 내역'!$O$6:$O$164,"Y",'영수증 내역'!$F$6:$F$164,$A4,'영수증 내역'!$H$6:$H$164,$B4)</f>
        <v/>
      </c>
      <c r="E4" s="10">
        <f>SUMIFS('영수증 내역'!$J$6:$J$164,'영수증 내역'!$O$6:$O$164,"Y",'영수증 내역'!$F$6:$F$164,$A4,'영수증 내역'!$H$6:$H$164,$B4)</f>
        <v/>
      </c>
      <c r="F4" s="10">
        <f>SUMIFS('영수증 내역'!$K$6:$K$164,'영수증 내역'!$O$6:$O$164,"Y",'영수증 내역'!$F$6:$F$164,$A4,'영수증 내역'!$H$6:$H$164,$B4)</f>
        <v/>
      </c>
      <c r="G4" s="10">
        <f>SUMIFS('영수증 내역'!$L$6:$L$164,'영수증 내역'!$O$6:$O$164,"Y",'영수증 내역'!$F$6:$F$164,$A4,'영수증 내역'!$H$6:$H$164,$B4)</f>
        <v/>
      </c>
      <c r="H4" s="10">
        <f>SUMIFS('영수증 내역'!$M$6:$M$164,'영수증 내역'!$O$6:$O$164,"Y",'영수증 내역'!$F$6:$F$164,$A4,'영수증 내역'!$H$6:$H$164,$B4)</f>
        <v/>
      </c>
    </row>
    <row r="5">
      <c r="A5" s="9" t="inlineStr">
        <is>
          <t>Home Depot</t>
        </is>
      </c>
      <c r="B5" s="7" t="inlineStr">
        <is>
          <t>CAD</t>
        </is>
      </c>
      <c r="C5" s="9">
        <f>COUNTIFS('영수증 내역'!$O$6:$O$164,"Y",'영수증 내역'!$F$6:$F$164,$A5,'영수증 내역'!$H$6:$H$164,$B5)</f>
        <v/>
      </c>
      <c r="D5" s="10">
        <f>SUMIFS('영수증 내역'!$I$6:$I$164,'영수증 내역'!$O$6:$O$164,"Y",'영수증 내역'!$F$6:$F$164,$A5,'영수증 내역'!$H$6:$H$164,$B5)</f>
        <v/>
      </c>
      <c r="E5" s="10">
        <f>SUMIFS('영수증 내역'!$J$6:$J$164,'영수증 내역'!$O$6:$O$164,"Y",'영수증 내역'!$F$6:$F$164,$A5,'영수증 내역'!$H$6:$H$164,$B5)</f>
        <v/>
      </c>
      <c r="F5" s="10">
        <f>SUMIFS('영수증 내역'!$K$6:$K$164,'영수증 내역'!$O$6:$O$164,"Y",'영수증 내역'!$F$6:$F$164,$A5,'영수증 내역'!$H$6:$H$164,$B5)</f>
        <v/>
      </c>
      <c r="G5" s="10">
        <f>SUMIFS('영수증 내역'!$L$6:$L$164,'영수증 내역'!$O$6:$O$164,"Y",'영수증 내역'!$F$6:$F$164,$A5,'영수증 내역'!$H$6:$H$164,$B5)</f>
        <v/>
      </c>
      <c r="H5" s="10">
        <f>SUMIFS('영수증 내역'!$M$6:$M$164,'영수증 내역'!$O$6:$O$164,"Y",'영수증 내역'!$F$6:$F$164,$A5,'영수증 내역'!$H$6:$H$164,$B5)</f>
        <v/>
      </c>
    </row>
    <row r="6">
      <c r="A6" s="9" t="inlineStr">
        <is>
          <t>Mac Outpost</t>
        </is>
      </c>
      <c r="B6" s="7" t="inlineStr">
        <is>
          <t>CAD</t>
        </is>
      </c>
      <c r="C6" s="9">
        <f>COUNTIFS('영수증 내역'!$O$6:$O$164,"Y",'영수증 내역'!$F$6:$F$164,$A6,'영수증 내역'!$H$6:$H$164,$B6)</f>
        <v/>
      </c>
      <c r="D6" s="10">
        <f>SUMIFS('영수증 내역'!$I$6:$I$164,'영수증 내역'!$O$6:$O$164,"Y",'영수증 내역'!$F$6:$F$164,$A6,'영수증 내역'!$H$6:$H$164,$B6)</f>
        <v/>
      </c>
      <c r="E6" s="10">
        <f>SUMIFS('영수증 내역'!$J$6:$J$164,'영수증 내역'!$O$6:$O$164,"Y",'영수증 내역'!$F$6:$F$164,$A6,'영수증 내역'!$H$6:$H$164,$B6)</f>
        <v/>
      </c>
      <c r="F6" s="10">
        <f>SUMIFS('영수증 내역'!$K$6:$K$164,'영수증 내역'!$O$6:$O$164,"Y",'영수증 내역'!$F$6:$F$164,$A6,'영수증 내역'!$H$6:$H$164,$B6)</f>
        <v/>
      </c>
      <c r="G6" s="10">
        <f>SUMIFS('영수증 내역'!$L$6:$L$164,'영수증 내역'!$O$6:$O$164,"Y",'영수증 내역'!$F$6:$F$164,$A6,'영수증 내역'!$H$6:$H$164,$B6)</f>
        <v/>
      </c>
      <c r="H6" s="10">
        <f>SUMIFS('영수증 내역'!$M$6:$M$164,'영수증 내역'!$O$6:$O$164,"Y",'영수증 내역'!$F$6:$F$164,$A6,'영수증 내역'!$H$6:$H$164,$B6)</f>
        <v/>
      </c>
    </row>
    <row r="7">
      <c r="A7" s="9" t="inlineStr">
        <is>
          <t>YSH CPA Professional Corporation</t>
        </is>
      </c>
      <c r="B7" s="7" t="inlineStr">
        <is>
          <t>CAD</t>
        </is>
      </c>
      <c r="C7" s="9">
        <f>COUNTIFS('영수증 내역'!$O$6:$O$164,"Y",'영수증 내역'!$F$6:$F$164,$A7,'영수증 내역'!$H$6:$H$164,$B7)</f>
        <v/>
      </c>
      <c r="D7" s="10">
        <f>SUMIFS('영수증 내역'!$I$6:$I$164,'영수증 내역'!$O$6:$O$164,"Y",'영수증 내역'!$F$6:$F$164,$A7,'영수증 내역'!$H$6:$H$164,$B7)</f>
        <v/>
      </c>
      <c r="E7" s="10">
        <f>SUMIFS('영수증 내역'!$J$6:$J$164,'영수증 내역'!$O$6:$O$164,"Y",'영수증 내역'!$F$6:$F$164,$A7,'영수증 내역'!$H$6:$H$164,$B7)</f>
        <v/>
      </c>
      <c r="F7" s="10">
        <f>SUMIFS('영수증 내역'!$K$6:$K$164,'영수증 내역'!$O$6:$O$164,"Y",'영수증 내역'!$F$6:$F$164,$A7,'영수증 내역'!$H$6:$H$164,$B7)</f>
        <v/>
      </c>
      <c r="G7" s="10">
        <f>SUMIFS('영수증 내역'!$L$6:$L$164,'영수증 내역'!$O$6:$O$164,"Y",'영수증 내역'!$F$6:$F$164,$A7,'영수증 내역'!$H$6:$H$164,$B7)</f>
        <v/>
      </c>
      <c r="H7" s="10">
        <f>SUMIFS('영수증 내역'!$M$6:$M$164,'영수증 내역'!$O$6:$O$164,"Y",'영수증 내역'!$F$6:$F$164,$A7,'영수증 내역'!$H$6:$H$164,$B7)</f>
        <v/>
      </c>
    </row>
    <row r="8">
      <c r="A8" s="9" t="inlineStr">
        <is>
          <t>Costco 주유소</t>
        </is>
      </c>
      <c r="B8" s="7" t="inlineStr">
        <is>
          <t>CAD</t>
        </is>
      </c>
      <c r="C8" s="9">
        <f>COUNTIFS('영수증 내역'!$O$6:$O$164,"Y",'영수증 내역'!$F$6:$F$164,$A8,'영수증 내역'!$H$6:$H$164,$B8)</f>
        <v/>
      </c>
      <c r="D8" s="10">
        <f>SUMIFS('영수증 내역'!$I$6:$I$164,'영수증 내역'!$O$6:$O$164,"Y",'영수증 내역'!$F$6:$F$164,$A8,'영수증 내역'!$H$6:$H$164,$B8)</f>
        <v/>
      </c>
      <c r="E8" s="10">
        <f>SUMIFS('영수증 내역'!$J$6:$J$164,'영수증 내역'!$O$6:$O$164,"Y",'영수증 내역'!$F$6:$F$164,$A8,'영수증 내역'!$H$6:$H$164,$B8)</f>
        <v/>
      </c>
      <c r="F8" s="10">
        <f>SUMIFS('영수증 내역'!$K$6:$K$164,'영수증 내역'!$O$6:$O$164,"Y",'영수증 내역'!$F$6:$F$164,$A8,'영수증 내역'!$H$6:$H$164,$B8)</f>
        <v/>
      </c>
      <c r="G8" s="10">
        <f>SUMIFS('영수증 내역'!$L$6:$L$164,'영수증 내역'!$O$6:$O$164,"Y",'영수증 내역'!$F$6:$F$164,$A8,'영수증 내역'!$H$6:$H$164,$B8)</f>
        <v/>
      </c>
      <c r="H8" s="10">
        <f>SUMIFS('영수증 내역'!$M$6:$M$164,'영수증 내역'!$O$6:$O$164,"Y",'영수증 내역'!$F$6:$F$164,$A8,'영수증 내역'!$H$6:$H$164,$B8)</f>
        <v/>
      </c>
    </row>
    <row r="9">
      <c r="A9" s="9" t="inlineStr">
        <is>
          <t>Duct Cleaning &amp; HVAC</t>
        </is>
      </c>
      <c r="B9" s="7" t="inlineStr">
        <is>
          <t>CAD</t>
        </is>
      </c>
      <c r="C9" s="9">
        <f>COUNTIFS('영수증 내역'!$O$6:$O$164,"Y",'영수증 내역'!$F$6:$F$164,$A9,'영수증 내역'!$H$6:$H$164,$B9)</f>
        <v/>
      </c>
      <c r="D9" s="10">
        <f>SUMIFS('영수증 내역'!$I$6:$I$164,'영수증 내역'!$O$6:$O$164,"Y",'영수증 내역'!$F$6:$F$164,$A9,'영수증 내역'!$H$6:$H$164,$B9)</f>
        <v/>
      </c>
      <c r="E9" s="10">
        <f>SUMIFS('영수증 내역'!$J$6:$J$164,'영수증 내역'!$O$6:$O$164,"Y",'영수증 내역'!$F$6:$F$164,$A9,'영수증 내역'!$H$6:$H$164,$B9)</f>
        <v/>
      </c>
      <c r="F9" s="10">
        <f>SUMIFS('영수증 내역'!$K$6:$K$164,'영수증 내역'!$O$6:$O$164,"Y",'영수증 내역'!$F$6:$F$164,$A9,'영수증 내역'!$H$6:$H$164,$B9)</f>
        <v/>
      </c>
      <c r="G9" s="10">
        <f>SUMIFS('영수증 내역'!$L$6:$L$164,'영수증 내역'!$O$6:$O$164,"Y",'영수증 내역'!$F$6:$F$164,$A9,'영수증 내역'!$H$6:$H$164,$B9)</f>
        <v/>
      </c>
      <c r="H9" s="10">
        <f>SUMIFS('영수증 내역'!$M$6:$M$164,'영수증 내역'!$O$6:$O$164,"Y",'영수증 내역'!$F$6:$F$164,$A9,'영수증 내역'!$H$6:$H$164,$B9)</f>
        <v/>
      </c>
    </row>
    <row r="10">
      <c r="A10" s="9" t="inlineStr">
        <is>
          <t>RECO (Real Estate Council of Ontario)</t>
        </is>
      </c>
      <c r="B10" s="7" t="inlineStr">
        <is>
          <t>CAD</t>
        </is>
      </c>
      <c r="C10" s="9">
        <f>COUNTIFS('영수증 내역'!$O$6:$O$164,"Y",'영수증 내역'!$F$6:$F$164,$A10,'영수증 내역'!$H$6:$H$164,$B10)</f>
        <v/>
      </c>
      <c r="D10" s="10">
        <f>SUMIFS('영수증 내역'!$I$6:$I$164,'영수증 내역'!$O$6:$O$164,"Y",'영수증 내역'!$F$6:$F$164,$A10,'영수증 내역'!$H$6:$H$164,$B10)</f>
        <v/>
      </c>
      <c r="E10" s="10">
        <f>SUMIFS('영수증 내역'!$J$6:$J$164,'영수증 내역'!$O$6:$O$164,"Y",'영수증 내역'!$F$6:$F$164,$A10,'영수증 내역'!$H$6:$H$164,$B10)</f>
        <v/>
      </c>
      <c r="F10" s="10">
        <f>SUMIFS('영수증 내역'!$K$6:$K$164,'영수증 내역'!$O$6:$O$164,"Y",'영수증 내역'!$F$6:$F$164,$A10,'영수증 내역'!$H$6:$H$164,$B10)</f>
        <v/>
      </c>
      <c r="G10" s="10">
        <f>SUMIFS('영수증 내역'!$L$6:$L$164,'영수증 내역'!$O$6:$O$164,"Y",'영수증 내역'!$F$6:$F$164,$A10,'영수증 내역'!$H$6:$H$164,$B10)</f>
        <v/>
      </c>
      <c r="H10" s="10">
        <f>SUMIFS('영수증 내역'!$M$6:$M$164,'영수증 내역'!$O$6:$O$164,"Y",'영수증 내역'!$F$6:$F$164,$A10,'영수증 내역'!$H$6:$H$164,$B10)</f>
        <v/>
      </c>
    </row>
    <row r="11">
      <c r="A11" s="9" t="inlineStr">
        <is>
          <t>Anthropic (Claude)</t>
        </is>
      </c>
      <c r="B11" s="7" t="inlineStr">
        <is>
          <t>CAD</t>
        </is>
      </c>
      <c r="C11" s="9">
        <f>COUNTIFS('영수증 내역'!$O$6:$O$164,"Y",'영수증 내역'!$F$6:$F$164,$A11,'영수증 내역'!$H$6:$H$164,$B11)</f>
        <v/>
      </c>
      <c r="D11" s="10">
        <f>SUMIFS('영수증 내역'!$I$6:$I$164,'영수증 내역'!$O$6:$O$164,"Y",'영수증 내역'!$F$6:$F$164,$A11,'영수증 내역'!$H$6:$H$164,$B11)</f>
        <v/>
      </c>
      <c r="E11" s="10">
        <f>SUMIFS('영수증 내역'!$J$6:$J$164,'영수증 내역'!$O$6:$O$164,"Y",'영수증 내역'!$F$6:$F$164,$A11,'영수증 내역'!$H$6:$H$164,$B11)</f>
        <v/>
      </c>
      <c r="F11" s="10">
        <f>SUMIFS('영수증 내역'!$K$6:$K$164,'영수증 내역'!$O$6:$O$164,"Y",'영수증 내역'!$F$6:$F$164,$A11,'영수증 내역'!$H$6:$H$164,$B11)</f>
        <v/>
      </c>
      <c r="G11" s="10">
        <f>SUMIFS('영수증 내역'!$L$6:$L$164,'영수증 내역'!$O$6:$O$164,"Y",'영수증 내역'!$F$6:$F$164,$A11,'영수증 내역'!$H$6:$H$164,$B11)</f>
        <v/>
      </c>
      <c r="H11" s="10">
        <f>SUMIFS('영수증 내역'!$M$6:$M$164,'영수증 내역'!$O$6:$O$164,"Y",'영수증 내역'!$F$6:$F$164,$A11,'영수증 내역'!$H$6:$H$164,$B11)</f>
        <v/>
      </c>
    </row>
    <row r="12">
      <c r="A12" s="9" t="inlineStr">
        <is>
          <t>Etobicoke Olympium (FitnessTO)</t>
        </is>
      </c>
      <c r="B12" s="7" t="inlineStr">
        <is>
          <t>CAD</t>
        </is>
      </c>
      <c r="C12" s="9">
        <f>COUNTIFS('영수증 내역'!$O$6:$O$164,"Y",'영수증 내역'!$F$6:$F$164,$A12,'영수증 내역'!$H$6:$H$164,$B12)</f>
        <v/>
      </c>
      <c r="D12" s="10">
        <f>SUMIFS('영수증 내역'!$I$6:$I$164,'영수증 내역'!$O$6:$O$164,"Y",'영수증 내역'!$F$6:$F$164,$A12,'영수증 내역'!$H$6:$H$164,$B12)</f>
        <v/>
      </c>
      <c r="E12" s="10">
        <f>SUMIFS('영수증 내역'!$J$6:$J$164,'영수증 내역'!$O$6:$O$164,"Y",'영수증 내역'!$F$6:$F$164,$A12,'영수증 내역'!$H$6:$H$164,$B12)</f>
        <v/>
      </c>
      <c r="F12" s="10">
        <f>SUMIFS('영수증 내역'!$K$6:$K$164,'영수증 내역'!$O$6:$O$164,"Y",'영수증 내역'!$F$6:$F$164,$A12,'영수증 내역'!$H$6:$H$164,$B12)</f>
        <v/>
      </c>
      <c r="G12" s="10">
        <f>SUMIFS('영수증 내역'!$L$6:$L$164,'영수증 내역'!$O$6:$O$164,"Y",'영수증 내역'!$F$6:$F$164,$A12,'영수증 내역'!$H$6:$H$164,$B12)</f>
        <v/>
      </c>
      <c r="H12" s="10">
        <f>SUMIFS('영수증 내역'!$M$6:$M$164,'영수증 내역'!$O$6:$O$164,"Y",'영수증 내역'!$F$6:$F$164,$A12,'영수증 내역'!$H$6:$H$164,$B12)</f>
        <v/>
      </c>
    </row>
    <row r="13">
      <c r="A13" s="9" t="inlineStr">
        <is>
          <t>ByteDance (CapCut Pro 연간 구독)</t>
        </is>
      </c>
      <c r="B13" s="7" t="inlineStr">
        <is>
          <t>CAD</t>
        </is>
      </c>
      <c r="C13" s="9">
        <f>COUNTIFS('영수증 내역'!$O$6:$O$164,"Y",'영수증 내역'!$F$6:$F$164,$A13,'영수증 내역'!$H$6:$H$164,$B13)</f>
        <v/>
      </c>
      <c r="D13" s="10">
        <f>SUMIFS('영수증 내역'!$I$6:$I$164,'영수증 내역'!$O$6:$O$164,"Y",'영수증 내역'!$F$6:$F$164,$A13,'영수증 내역'!$H$6:$H$164,$B13)</f>
        <v/>
      </c>
      <c r="E13" s="10">
        <f>SUMIFS('영수증 내역'!$J$6:$J$164,'영수증 내역'!$O$6:$O$164,"Y",'영수증 내역'!$F$6:$F$164,$A13,'영수증 내역'!$H$6:$H$164,$B13)</f>
        <v/>
      </c>
      <c r="F13" s="10">
        <f>SUMIFS('영수증 내역'!$K$6:$K$164,'영수증 내역'!$O$6:$O$164,"Y",'영수증 내역'!$F$6:$F$164,$A13,'영수증 내역'!$H$6:$H$164,$B13)</f>
        <v/>
      </c>
      <c r="G13" s="10">
        <f>SUMIFS('영수증 내역'!$L$6:$L$164,'영수증 내역'!$O$6:$O$164,"Y",'영수증 내역'!$F$6:$F$164,$A13,'영수증 내역'!$H$6:$H$164,$B13)</f>
        <v/>
      </c>
      <c r="H13" s="10">
        <f>SUMIFS('영수증 내역'!$M$6:$M$164,'영수증 내역'!$O$6:$O$164,"Y",'영수증 내역'!$F$6:$F$164,$A13,'영수증 내역'!$H$6:$H$164,$B13)</f>
        <v/>
      </c>
    </row>
    <row r="14">
      <c r="A14" s="9" t="inlineStr">
        <is>
          <t>Sushi Legend</t>
        </is>
      </c>
      <c r="B14" s="7" t="inlineStr">
        <is>
          <t>CAD</t>
        </is>
      </c>
      <c r="C14" s="9">
        <f>COUNTIFS('영수증 내역'!$O$6:$O$164,"Y",'영수증 내역'!$F$6:$F$164,$A14,'영수증 내역'!$H$6:$H$164,$B14)</f>
        <v/>
      </c>
      <c r="D14" s="10">
        <f>SUMIFS('영수증 내역'!$I$6:$I$164,'영수증 내역'!$O$6:$O$164,"Y",'영수증 내역'!$F$6:$F$164,$A14,'영수증 내역'!$H$6:$H$164,$B14)</f>
        <v/>
      </c>
      <c r="E14" s="10">
        <f>SUMIFS('영수증 내역'!$J$6:$J$164,'영수증 내역'!$O$6:$O$164,"Y",'영수증 내역'!$F$6:$F$164,$A14,'영수증 내역'!$H$6:$H$164,$B14)</f>
        <v/>
      </c>
      <c r="F14" s="10">
        <f>SUMIFS('영수증 내역'!$K$6:$K$164,'영수증 내역'!$O$6:$O$164,"Y",'영수증 내역'!$F$6:$F$164,$A14,'영수증 내역'!$H$6:$H$164,$B14)</f>
        <v/>
      </c>
      <c r="G14" s="10">
        <f>SUMIFS('영수증 내역'!$L$6:$L$164,'영수증 내역'!$O$6:$O$164,"Y",'영수증 내역'!$F$6:$F$164,$A14,'영수증 내역'!$H$6:$H$164,$B14)</f>
        <v/>
      </c>
      <c r="H14" s="10">
        <f>SUMIFS('영수증 내역'!$M$6:$M$164,'영수증 내역'!$O$6:$O$164,"Y",'영수증 내역'!$F$6:$F$164,$A14,'영수증 내역'!$H$6:$H$164,$B14)</f>
        <v/>
      </c>
    </row>
    <row r="15">
      <c r="A15" s="9" t="inlineStr">
        <is>
          <t>Jangteo Gukbap</t>
        </is>
      </c>
      <c r="B15" s="7" t="inlineStr">
        <is>
          <t>CAD</t>
        </is>
      </c>
      <c r="C15" s="9">
        <f>COUNTIFS('영수증 내역'!$O$6:$O$164,"Y",'영수증 내역'!$F$6:$F$164,$A15,'영수증 내역'!$H$6:$H$164,$B15)</f>
        <v/>
      </c>
      <c r="D15" s="10">
        <f>SUMIFS('영수증 내역'!$I$6:$I$164,'영수증 내역'!$O$6:$O$164,"Y",'영수증 내역'!$F$6:$F$164,$A15,'영수증 내역'!$H$6:$H$164,$B15)</f>
        <v/>
      </c>
      <c r="E15" s="10">
        <f>SUMIFS('영수증 내역'!$J$6:$J$164,'영수증 내역'!$O$6:$O$164,"Y",'영수증 내역'!$F$6:$F$164,$A15,'영수증 내역'!$H$6:$H$164,$B15)</f>
        <v/>
      </c>
      <c r="F15" s="10">
        <f>SUMIFS('영수증 내역'!$K$6:$K$164,'영수증 내역'!$O$6:$O$164,"Y",'영수증 내역'!$F$6:$F$164,$A15,'영수증 내역'!$H$6:$H$164,$B15)</f>
        <v/>
      </c>
      <c r="G15" s="10">
        <f>SUMIFS('영수증 내역'!$L$6:$L$164,'영수증 내역'!$O$6:$O$164,"Y",'영수증 내역'!$F$6:$F$164,$A15,'영수증 내역'!$H$6:$H$164,$B15)</f>
        <v/>
      </c>
      <c r="H15" s="10">
        <f>SUMIFS('영수증 내역'!$M$6:$M$164,'영수증 내역'!$O$6:$O$164,"Y",'영수증 내역'!$F$6:$F$164,$A15,'영수증 내역'!$H$6:$H$164,$B15)</f>
        <v/>
      </c>
    </row>
    <row r="16">
      <c r="A16" s="9" t="inlineStr">
        <is>
          <t>Esso</t>
        </is>
      </c>
      <c r="B16" s="7" t="inlineStr">
        <is>
          <t>CAD</t>
        </is>
      </c>
      <c r="C16" s="9">
        <f>COUNTIFS('영수증 내역'!$O$6:$O$164,"Y",'영수증 내역'!$F$6:$F$164,$A16,'영수증 내역'!$H$6:$H$164,$B16)</f>
        <v/>
      </c>
      <c r="D16" s="10">
        <f>SUMIFS('영수증 내역'!$I$6:$I$164,'영수증 내역'!$O$6:$O$164,"Y",'영수증 내역'!$F$6:$F$164,$A16,'영수증 내역'!$H$6:$H$164,$B16)</f>
        <v/>
      </c>
      <c r="E16" s="10">
        <f>SUMIFS('영수증 내역'!$J$6:$J$164,'영수증 내역'!$O$6:$O$164,"Y",'영수증 내역'!$F$6:$F$164,$A16,'영수증 내역'!$H$6:$H$164,$B16)</f>
        <v/>
      </c>
      <c r="F16" s="10">
        <f>SUMIFS('영수증 내역'!$K$6:$K$164,'영수증 내역'!$O$6:$O$164,"Y",'영수증 내역'!$F$6:$F$164,$A16,'영수증 내역'!$H$6:$H$164,$B16)</f>
        <v/>
      </c>
      <c r="G16" s="10">
        <f>SUMIFS('영수증 내역'!$L$6:$L$164,'영수증 내역'!$O$6:$O$164,"Y",'영수증 내역'!$F$6:$F$164,$A16,'영수증 내역'!$H$6:$H$164,$B16)</f>
        <v/>
      </c>
      <c r="H16" s="10">
        <f>SUMIFS('영수증 내역'!$M$6:$M$164,'영수증 내역'!$O$6:$O$164,"Y",'영수증 내역'!$F$6:$F$164,$A16,'영수증 내역'!$H$6:$H$164,$B16)</f>
        <v/>
      </c>
    </row>
    <row r="17">
      <c r="A17" s="9" t="inlineStr">
        <is>
          <t>SushiOne x Jjajang1980</t>
        </is>
      </c>
      <c r="B17" s="7" t="inlineStr">
        <is>
          <t>CAD</t>
        </is>
      </c>
      <c r="C17" s="9">
        <f>COUNTIFS('영수증 내역'!$O$6:$O$164,"Y",'영수증 내역'!$F$6:$F$164,$A17,'영수증 내역'!$H$6:$H$164,$B17)</f>
        <v/>
      </c>
      <c r="D17" s="10">
        <f>SUMIFS('영수증 내역'!$I$6:$I$164,'영수증 내역'!$O$6:$O$164,"Y",'영수증 내역'!$F$6:$F$164,$A17,'영수증 내역'!$H$6:$H$164,$B17)</f>
        <v/>
      </c>
      <c r="E17" s="10">
        <f>SUMIFS('영수증 내역'!$J$6:$J$164,'영수증 내역'!$O$6:$O$164,"Y",'영수증 내역'!$F$6:$F$164,$A17,'영수증 내역'!$H$6:$H$164,$B17)</f>
        <v/>
      </c>
      <c r="F17" s="10">
        <f>SUMIFS('영수증 내역'!$K$6:$K$164,'영수증 내역'!$O$6:$O$164,"Y",'영수증 내역'!$F$6:$F$164,$A17,'영수증 내역'!$H$6:$H$164,$B17)</f>
        <v/>
      </c>
      <c r="G17" s="10">
        <f>SUMIFS('영수증 내역'!$L$6:$L$164,'영수증 내역'!$O$6:$O$164,"Y",'영수증 내역'!$F$6:$F$164,$A17,'영수증 내역'!$H$6:$H$164,$B17)</f>
        <v/>
      </c>
      <c r="H17" s="10">
        <f>SUMIFS('영수증 내역'!$M$6:$M$164,'영수증 내역'!$O$6:$O$164,"Y",'영수증 내역'!$F$6:$F$164,$A17,'영수증 내역'!$H$6:$H$164,$B17)</f>
        <v/>
      </c>
    </row>
    <row r="18">
      <c r="A18" s="9" t="inlineStr">
        <is>
          <t>Uniqlo (Yorkdale)</t>
        </is>
      </c>
      <c r="B18" s="7" t="inlineStr">
        <is>
          <t>CAD</t>
        </is>
      </c>
      <c r="C18" s="9">
        <f>COUNTIFS('영수증 내역'!$O$6:$O$164,"Y",'영수증 내역'!$F$6:$F$164,$A18,'영수증 내역'!$H$6:$H$164,$B18)</f>
        <v/>
      </c>
      <c r="D18" s="10">
        <f>SUMIFS('영수증 내역'!$I$6:$I$164,'영수증 내역'!$O$6:$O$164,"Y",'영수증 내역'!$F$6:$F$164,$A18,'영수증 내역'!$H$6:$H$164,$B18)</f>
        <v/>
      </c>
      <c r="E18" s="10">
        <f>SUMIFS('영수증 내역'!$J$6:$J$164,'영수증 내역'!$O$6:$O$164,"Y",'영수증 내역'!$F$6:$F$164,$A18,'영수증 내역'!$H$6:$H$164,$B18)</f>
        <v/>
      </c>
      <c r="F18" s="10">
        <f>SUMIFS('영수증 내역'!$K$6:$K$164,'영수증 내역'!$O$6:$O$164,"Y",'영수증 내역'!$F$6:$F$164,$A18,'영수증 내역'!$H$6:$H$164,$B18)</f>
        <v/>
      </c>
      <c r="G18" s="10">
        <f>SUMIFS('영수증 내역'!$L$6:$L$164,'영수증 내역'!$O$6:$O$164,"Y",'영수증 내역'!$F$6:$F$164,$A18,'영수증 내역'!$H$6:$H$164,$B18)</f>
        <v/>
      </c>
      <c r="H18" s="10">
        <f>SUMIFS('영수증 내역'!$M$6:$M$164,'영수증 내역'!$O$6:$O$164,"Y",'영수증 내역'!$F$6:$F$164,$A18,'영수증 내역'!$H$6:$H$164,$B18)</f>
        <v/>
      </c>
    </row>
    <row r="19">
      <c r="A19" s="9" t="inlineStr">
        <is>
          <t>Shell</t>
        </is>
      </c>
      <c r="B19" s="7" t="inlineStr">
        <is>
          <t>CAD</t>
        </is>
      </c>
      <c r="C19" s="9">
        <f>COUNTIFS('영수증 내역'!$O$6:$O$164,"Y",'영수증 내역'!$F$6:$F$164,$A19,'영수증 내역'!$H$6:$H$164,$B19)</f>
        <v/>
      </c>
      <c r="D19" s="10">
        <f>SUMIFS('영수증 내역'!$I$6:$I$164,'영수증 내역'!$O$6:$O$164,"Y",'영수증 내역'!$F$6:$F$164,$A19,'영수증 내역'!$H$6:$H$164,$B19)</f>
        <v/>
      </c>
      <c r="E19" s="10">
        <f>SUMIFS('영수증 내역'!$J$6:$J$164,'영수증 내역'!$O$6:$O$164,"Y",'영수증 내역'!$F$6:$F$164,$A19,'영수증 내역'!$H$6:$H$164,$B19)</f>
        <v/>
      </c>
      <c r="F19" s="10">
        <f>SUMIFS('영수증 내역'!$K$6:$K$164,'영수증 내역'!$O$6:$O$164,"Y",'영수증 내역'!$F$6:$F$164,$A19,'영수증 내역'!$H$6:$H$164,$B19)</f>
        <v/>
      </c>
      <c r="G19" s="10">
        <f>SUMIFS('영수증 내역'!$L$6:$L$164,'영수증 내역'!$O$6:$O$164,"Y",'영수증 내역'!$F$6:$F$164,$A19,'영수증 내역'!$H$6:$H$164,$B19)</f>
        <v/>
      </c>
      <c r="H19" s="10">
        <f>SUMIFS('영수증 내역'!$M$6:$M$164,'영수증 내역'!$O$6:$O$164,"Y",'영수증 내역'!$F$6:$F$164,$A19,'영수증 내역'!$H$6:$H$164,$B19)</f>
        <v/>
      </c>
    </row>
    <row r="20">
      <c r="A20" s="9" t="inlineStr">
        <is>
          <t>Costco 매장</t>
        </is>
      </c>
      <c r="B20" s="7" t="inlineStr">
        <is>
          <t>CAD</t>
        </is>
      </c>
      <c r="C20" s="9">
        <f>COUNTIFS('영수증 내역'!$O$6:$O$164,"Y",'영수증 내역'!$F$6:$F$164,$A20,'영수증 내역'!$H$6:$H$164,$B20)</f>
        <v/>
      </c>
      <c r="D20" s="10">
        <f>SUMIFS('영수증 내역'!$I$6:$I$164,'영수증 내역'!$O$6:$O$164,"Y",'영수증 내역'!$F$6:$F$164,$A20,'영수증 내역'!$H$6:$H$164,$B20)</f>
        <v/>
      </c>
      <c r="E20" s="10">
        <f>SUMIFS('영수증 내역'!$J$6:$J$164,'영수증 내역'!$O$6:$O$164,"Y",'영수증 내역'!$F$6:$F$164,$A20,'영수증 내역'!$H$6:$H$164,$B20)</f>
        <v/>
      </c>
      <c r="F20" s="10">
        <f>SUMIFS('영수증 내역'!$K$6:$K$164,'영수증 내역'!$O$6:$O$164,"Y",'영수증 내역'!$F$6:$F$164,$A20,'영수증 내역'!$H$6:$H$164,$B20)</f>
        <v/>
      </c>
      <c r="G20" s="10">
        <f>SUMIFS('영수증 내역'!$L$6:$L$164,'영수증 내역'!$O$6:$O$164,"Y",'영수증 내역'!$F$6:$F$164,$A20,'영수증 내역'!$H$6:$H$164,$B20)</f>
        <v/>
      </c>
      <c r="H20" s="10">
        <f>SUMIFS('영수증 내역'!$M$6:$M$164,'영수증 내역'!$O$6:$O$164,"Y",'영수증 내역'!$F$6:$F$164,$A20,'영수증 내역'!$H$6:$H$164,$B20)</f>
        <v/>
      </c>
    </row>
    <row r="21">
      <c r="A21" s="9" t="inlineStr">
        <is>
          <t>Apple Canada (Education Store)</t>
        </is>
      </c>
      <c r="B21" s="7" t="inlineStr">
        <is>
          <t>CAD</t>
        </is>
      </c>
      <c r="C21" s="9">
        <f>COUNTIFS('영수증 내역'!$O$6:$O$164,"Y",'영수증 내역'!$F$6:$F$164,$A21,'영수증 내역'!$H$6:$H$164,$B21)</f>
        <v/>
      </c>
      <c r="D21" s="10">
        <f>SUMIFS('영수증 내역'!$I$6:$I$164,'영수증 내역'!$O$6:$O$164,"Y",'영수증 내역'!$F$6:$F$164,$A21,'영수증 내역'!$H$6:$H$164,$B21)</f>
        <v/>
      </c>
      <c r="E21" s="10">
        <f>SUMIFS('영수증 내역'!$J$6:$J$164,'영수증 내역'!$O$6:$O$164,"Y",'영수증 내역'!$F$6:$F$164,$A21,'영수증 내역'!$H$6:$H$164,$B21)</f>
        <v/>
      </c>
      <c r="F21" s="10">
        <f>SUMIFS('영수증 내역'!$K$6:$K$164,'영수증 내역'!$O$6:$O$164,"Y",'영수증 내역'!$F$6:$F$164,$A21,'영수증 내역'!$H$6:$H$164,$B21)</f>
        <v/>
      </c>
      <c r="G21" s="10">
        <f>SUMIFS('영수증 내역'!$L$6:$L$164,'영수증 내역'!$O$6:$O$164,"Y",'영수증 내역'!$F$6:$F$164,$A21,'영수증 내역'!$H$6:$H$164,$B21)</f>
        <v/>
      </c>
      <c r="H21" s="10">
        <f>SUMIFS('영수증 내역'!$M$6:$M$164,'영수증 내역'!$O$6:$O$164,"Y",'영수증 내역'!$F$6:$F$164,$A21,'영수증 내역'!$H$6:$H$164,$B21)</f>
        <v/>
      </c>
    </row>
    <row r="22">
      <c r="A22" s="9" t="inlineStr">
        <is>
          <t>Kin Kin Bakery</t>
        </is>
      </c>
      <c r="B22" s="7" t="inlineStr">
        <is>
          <t>CAD</t>
        </is>
      </c>
      <c r="C22" s="9">
        <f>COUNTIFS('영수증 내역'!$O$6:$O$164,"Y",'영수증 내역'!$F$6:$F$164,$A22,'영수증 내역'!$H$6:$H$164,$B22)</f>
        <v/>
      </c>
      <c r="D22" s="10">
        <f>SUMIFS('영수증 내역'!$I$6:$I$164,'영수증 내역'!$O$6:$O$164,"Y",'영수증 내역'!$F$6:$F$164,$A22,'영수증 내역'!$H$6:$H$164,$B22)</f>
        <v/>
      </c>
      <c r="E22" s="10">
        <f>SUMIFS('영수증 내역'!$J$6:$J$164,'영수증 내역'!$O$6:$O$164,"Y",'영수증 내역'!$F$6:$F$164,$A22,'영수증 내역'!$H$6:$H$164,$B22)</f>
        <v/>
      </c>
      <c r="F22" s="10">
        <f>SUMIFS('영수증 내역'!$K$6:$K$164,'영수증 내역'!$O$6:$O$164,"Y",'영수증 내역'!$F$6:$F$164,$A22,'영수증 내역'!$H$6:$H$164,$B22)</f>
        <v/>
      </c>
      <c r="G22" s="10">
        <f>SUMIFS('영수증 내역'!$L$6:$L$164,'영수증 내역'!$O$6:$O$164,"Y",'영수증 내역'!$F$6:$F$164,$A22,'영수증 내역'!$H$6:$H$164,$B22)</f>
        <v/>
      </c>
      <c r="H22" s="10">
        <f>SUMIFS('영수증 내역'!$M$6:$M$164,'영수증 내역'!$O$6:$O$164,"Y",'영수증 내역'!$F$6:$F$164,$A22,'영수증 내역'!$H$6:$H$164,$B22)</f>
        <v/>
      </c>
    </row>
    <row r="23">
      <c r="A23" s="9" t="inlineStr">
        <is>
          <t>Pho Anh Vu (Yonge-Sheppard)</t>
        </is>
      </c>
      <c r="B23" s="7" t="inlineStr">
        <is>
          <t>CAD</t>
        </is>
      </c>
      <c r="C23" s="9">
        <f>COUNTIFS('영수증 내역'!$O$6:$O$164,"Y",'영수증 내역'!$F$6:$F$164,$A23,'영수증 내역'!$H$6:$H$164,$B23)</f>
        <v/>
      </c>
      <c r="D23" s="10">
        <f>SUMIFS('영수증 내역'!$I$6:$I$164,'영수증 내역'!$O$6:$O$164,"Y",'영수증 내역'!$F$6:$F$164,$A23,'영수증 내역'!$H$6:$H$164,$B23)</f>
        <v/>
      </c>
      <c r="E23" s="10">
        <f>SUMIFS('영수증 내역'!$J$6:$J$164,'영수증 내역'!$O$6:$O$164,"Y",'영수증 내역'!$F$6:$F$164,$A23,'영수증 내역'!$H$6:$H$164,$B23)</f>
        <v/>
      </c>
      <c r="F23" s="10">
        <f>SUMIFS('영수증 내역'!$K$6:$K$164,'영수증 내역'!$O$6:$O$164,"Y",'영수증 내역'!$F$6:$F$164,$A23,'영수증 내역'!$H$6:$H$164,$B23)</f>
        <v/>
      </c>
      <c r="G23" s="10">
        <f>SUMIFS('영수증 내역'!$L$6:$L$164,'영수증 내역'!$O$6:$O$164,"Y",'영수증 내역'!$F$6:$F$164,$A23,'영수증 내역'!$H$6:$H$164,$B23)</f>
        <v/>
      </c>
      <c r="H23" s="10">
        <f>SUMIFS('영수증 내역'!$M$6:$M$164,'영수증 내역'!$O$6:$O$164,"Y",'영수증 내역'!$F$6:$F$164,$A23,'영수증 내역'!$H$6:$H$164,$B23)</f>
        <v/>
      </c>
    </row>
    <row r="24">
      <c r="A24" s="9" t="inlineStr">
        <is>
          <t>Congee Queen (Mississauga)</t>
        </is>
      </c>
      <c r="B24" s="7" t="inlineStr">
        <is>
          <t>CAD</t>
        </is>
      </c>
      <c r="C24" s="9">
        <f>COUNTIFS('영수증 내역'!$O$6:$O$164,"Y",'영수증 내역'!$F$6:$F$164,$A24,'영수증 내역'!$H$6:$H$164,$B24)</f>
        <v/>
      </c>
      <c r="D24" s="10">
        <f>SUMIFS('영수증 내역'!$I$6:$I$164,'영수증 내역'!$O$6:$O$164,"Y",'영수증 내역'!$F$6:$F$164,$A24,'영수증 내역'!$H$6:$H$164,$B24)</f>
        <v/>
      </c>
      <c r="E24" s="10">
        <f>SUMIFS('영수증 내역'!$J$6:$J$164,'영수증 내역'!$O$6:$O$164,"Y",'영수증 내역'!$F$6:$F$164,$A24,'영수증 내역'!$H$6:$H$164,$B24)</f>
        <v/>
      </c>
      <c r="F24" s="10">
        <f>SUMIFS('영수증 내역'!$K$6:$K$164,'영수증 내역'!$O$6:$O$164,"Y",'영수증 내역'!$F$6:$F$164,$A24,'영수증 내역'!$H$6:$H$164,$B24)</f>
        <v/>
      </c>
      <c r="G24" s="10">
        <f>SUMIFS('영수증 내역'!$L$6:$L$164,'영수증 내역'!$O$6:$O$164,"Y",'영수증 내역'!$F$6:$F$164,$A24,'영수증 내역'!$H$6:$H$164,$B24)</f>
        <v/>
      </c>
      <c r="H24" s="10">
        <f>SUMIFS('영수증 내역'!$M$6:$M$164,'영수증 내역'!$O$6:$O$164,"Y",'영수증 내역'!$F$6:$F$164,$A24,'영수증 내역'!$H$6:$H$164,$B24)</f>
        <v/>
      </c>
    </row>
    <row r="25">
      <c r="A25" s="9" t="inlineStr">
        <is>
          <t>Noki Systems</t>
        </is>
      </c>
      <c r="B25" s="7" t="inlineStr">
        <is>
          <t>CAD</t>
        </is>
      </c>
      <c r="C25" s="9">
        <f>COUNTIFS('영수증 내역'!$O$6:$O$164,"Y",'영수증 내역'!$F$6:$F$164,$A25,'영수증 내역'!$H$6:$H$164,$B25)</f>
        <v/>
      </c>
      <c r="D25" s="10">
        <f>SUMIFS('영수증 내역'!$I$6:$I$164,'영수증 내역'!$O$6:$O$164,"Y",'영수증 내역'!$F$6:$F$164,$A25,'영수증 내역'!$H$6:$H$164,$B25)</f>
        <v/>
      </c>
      <c r="E25" s="10">
        <f>SUMIFS('영수증 내역'!$J$6:$J$164,'영수증 내역'!$O$6:$O$164,"Y",'영수증 내역'!$F$6:$F$164,$A25,'영수증 내역'!$H$6:$H$164,$B25)</f>
        <v/>
      </c>
      <c r="F25" s="10">
        <f>SUMIFS('영수증 내역'!$K$6:$K$164,'영수증 내역'!$O$6:$O$164,"Y",'영수증 내역'!$F$6:$F$164,$A25,'영수증 내역'!$H$6:$H$164,$B25)</f>
        <v/>
      </c>
      <c r="G25" s="10">
        <f>SUMIFS('영수증 내역'!$L$6:$L$164,'영수증 내역'!$O$6:$O$164,"Y",'영수증 내역'!$F$6:$F$164,$A25,'영수증 내역'!$H$6:$H$164,$B25)</f>
        <v/>
      </c>
      <c r="H25" s="10">
        <f>SUMIFS('영수증 내역'!$M$6:$M$164,'영수증 내역'!$O$6:$O$164,"Y",'영수증 내역'!$F$6:$F$164,$A25,'영수증 내역'!$H$6:$H$164,$B25)</f>
        <v/>
      </c>
    </row>
    <row r="26">
      <c r="A26" s="9" t="inlineStr">
        <is>
          <t>H Mart</t>
        </is>
      </c>
      <c r="B26" s="7" t="inlineStr">
        <is>
          <t>CAD</t>
        </is>
      </c>
      <c r="C26" s="9">
        <f>COUNTIFS('영수증 내역'!$O$6:$O$164,"Y",'영수증 내역'!$F$6:$F$164,$A26,'영수증 내역'!$H$6:$H$164,$B26)</f>
        <v/>
      </c>
      <c r="D26" s="10">
        <f>SUMIFS('영수증 내역'!$I$6:$I$164,'영수증 내역'!$O$6:$O$164,"Y",'영수증 내역'!$F$6:$F$164,$A26,'영수증 내역'!$H$6:$H$164,$B26)</f>
        <v/>
      </c>
      <c r="E26" s="10">
        <f>SUMIFS('영수증 내역'!$J$6:$J$164,'영수증 내역'!$O$6:$O$164,"Y",'영수증 내역'!$F$6:$F$164,$A26,'영수증 내역'!$H$6:$H$164,$B26)</f>
        <v/>
      </c>
      <c r="F26" s="10">
        <f>SUMIFS('영수증 내역'!$K$6:$K$164,'영수증 내역'!$O$6:$O$164,"Y",'영수증 내역'!$F$6:$F$164,$A26,'영수증 내역'!$H$6:$H$164,$B26)</f>
        <v/>
      </c>
      <c r="G26" s="10">
        <f>SUMIFS('영수증 내역'!$L$6:$L$164,'영수증 내역'!$O$6:$O$164,"Y",'영수증 내역'!$F$6:$F$164,$A26,'영수증 내역'!$H$6:$H$164,$B26)</f>
        <v/>
      </c>
      <c r="H26" s="10">
        <f>SUMIFS('영수증 내역'!$M$6:$M$164,'영수증 내역'!$O$6:$O$164,"Y",'영수증 내역'!$F$6:$F$164,$A26,'영수증 내역'!$H$6:$H$164,$B26)</f>
        <v/>
      </c>
    </row>
    <row r="27">
      <c r="A27" s="9" t="inlineStr">
        <is>
          <t>Tim Hortons</t>
        </is>
      </c>
      <c r="B27" s="7" t="inlineStr">
        <is>
          <t>CAD</t>
        </is>
      </c>
      <c r="C27" s="9">
        <f>COUNTIFS('영수증 내역'!$O$6:$O$164,"Y",'영수증 내역'!$F$6:$F$164,$A27,'영수증 내역'!$H$6:$H$164,$B27)</f>
        <v/>
      </c>
      <c r="D27" s="10">
        <f>SUMIFS('영수증 내역'!$I$6:$I$164,'영수증 내역'!$O$6:$O$164,"Y",'영수증 내역'!$F$6:$F$164,$A27,'영수증 내역'!$H$6:$H$164,$B27)</f>
        <v/>
      </c>
      <c r="E27" s="10">
        <f>SUMIFS('영수증 내역'!$J$6:$J$164,'영수증 내역'!$O$6:$O$164,"Y",'영수증 내역'!$F$6:$F$164,$A27,'영수증 내역'!$H$6:$H$164,$B27)</f>
        <v/>
      </c>
      <c r="F27" s="10">
        <f>SUMIFS('영수증 내역'!$K$6:$K$164,'영수증 내역'!$O$6:$O$164,"Y",'영수증 내역'!$F$6:$F$164,$A27,'영수증 내역'!$H$6:$H$164,$B27)</f>
        <v/>
      </c>
      <c r="G27" s="10">
        <f>SUMIFS('영수증 내역'!$L$6:$L$164,'영수증 내역'!$O$6:$O$164,"Y",'영수증 내역'!$F$6:$F$164,$A27,'영수증 내역'!$H$6:$H$164,$B27)</f>
        <v/>
      </c>
      <c r="H27" s="10">
        <f>SUMIFS('영수증 내역'!$M$6:$M$164,'영수증 내역'!$O$6:$O$164,"Y",'영수증 내역'!$F$6:$F$164,$A27,'영수증 내역'!$H$6:$H$164,$B27)</f>
        <v/>
      </c>
    </row>
    <row r="28">
      <c r="A28" s="9" t="inlineStr">
        <is>
          <t>Magic Auto</t>
        </is>
      </c>
      <c r="B28" s="7" t="inlineStr">
        <is>
          <t>CAD</t>
        </is>
      </c>
      <c r="C28" s="9">
        <f>COUNTIFS('영수증 내역'!$O$6:$O$164,"Y",'영수증 내역'!$F$6:$F$164,$A28,'영수증 내역'!$H$6:$H$164,$B28)</f>
        <v/>
      </c>
      <c r="D28" s="10">
        <f>SUMIFS('영수증 내역'!$I$6:$I$164,'영수증 내역'!$O$6:$O$164,"Y",'영수증 내역'!$F$6:$F$164,$A28,'영수증 내역'!$H$6:$H$164,$B28)</f>
        <v/>
      </c>
      <c r="E28" s="10">
        <f>SUMIFS('영수증 내역'!$J$6:$J$164,'영수증 내역'!$O$6:$O$164,"Y",'영수증 내역'!$F$6:$F$164,$A28,'영수증 내역'!$H$6:$H$164,$B28)</f>
        <v/>
      </c>
      <c r="F28" s="10">
        <f>SUMIFS('영수증 내역'!$K$6:$K$164,'영수증 내역'!$O$6:$O$164,"Y",'영수증 내역'!$F$6:$F$164,$A28,'영수증 내역'!$H$6:$H$164,$B28)</f>
        <v/>
      </c>
      <c r="G28" s="10">
        <f>SUMIFS('영수증 내역'!$L$6:$L$164,'영수증 내역'!$O$6:$O$164,"Y",'영수증 내역'!$F$6:$F$164,$A28,'영수증 내역'!$H$6:$H$164,$B28)</f>
        <v/>
      </c>
      <c r="H28" s="10">
        <f>SUMIFS('영수증 내역'!$M$6:$M$164,'영수증 내역'!$O$6:$O$164,"Y",'영수증 내역'!$F$6:$F$164,$A28,'영수증 내역'!$H$6:$H$164,$B28)</f>
        <v/>
      </c>
    </row>
    <row r="29">
      <c r="A29" s="9" t="inlineStr">
        <is>
          <t>Enerplace (Air Filters)</t>
        </is>
      </c>
      <c r="B29" s="7" t="inlineStr">
        <is>
          <t>CAD</t>
        </is>
      </c>
      <c r="C29" s="9">
        <f>COUNTIFS('영수증 내역'!$O$6:$O$164,"Y",'영수증 내역'!$F$6:$F$164,$A29,'영수증 내역'!$H$6:$H$164,$B29)</f>
        <v/>
      </c>
      <c r="D29" s="10">
        <f>SUMIFS('영수증 내역'!$I$6:$I$164,'영수증 내역'!$O$6:$O$164,"Y",'영수증 내역'!$F$6:$F$164,$A29,'영수증 내역'!$H$6:$H$164,$B29)</f>
        <v/>
      </c>
      <c r="E29" s="10">
        <f>SUMIFS('영수증 내역'!$J$6:$J$164,'영수증 내역'!$O$6:$O$164,"Y",'영수증 내역'!$F$6:$F$164,$A29,'영수증 내역'!$H$6:$H$164,$B29)</f>
        <v/>
      </c>
      <c r="F29" s="10">
        <f>SUMIFS('영수증 내역'!$K$6:$K$164,'영수증 내역'!$O$6:$O$164,"Y",'영수증 내역'!$F$6:$F$164,$A29,'영수증 내역'!$H$6:$H$164,$B29)</f>
        <v/>
      </c>
      <c r="G29" s="10">
        <f>SUMIFS('영수증 내역'!$L$6:$L$164,'영수증 내역'!$O$6:$O$164,"Y",'영수증 내역'!$F$6:$F$164,$A29,'영수증 내역'!$H$6:$H$164,$B29)</f>
        <v/>
      </c>
      <c r="H29" s="10">
        <f>SUMIFS('영수증 내역'!$M$6:$M$164,'영수증 내역'!$O$6:$O$164,"Y",'영수증 내역'!$F$6:$F$164,$A29,'영수증 내역'!$H$6:$H$164,$B29)</f>
        <v/>
      </c>
    </row>
    <row r="30">
      <c r="A30" s="9" t="inlineStr">
        <is>
          <t>Kajiken</t>
        </is>
      </c>
      <c r="B30" s="7" t="inlineStr">
        <is>
          <t>CAD</t>
        </is>
      </c>
      <c r="C30" s="9">
        <f>COUNTIFS('영수증 내역'!$O$6:$O$164,"Y",'영수증 내역'!$F$6:$F$164,$A30,'영수증 내역'!$H$6:$H$164,$B30)</f>
        <v/>
      </c>
      <c r="D30" s="10">
        <f>SUMIFS('영수증 내역'!$I$6:$I$164,'영수증 내역'!$O$6:$O$164,"Y",'영수증 내역'!$F$6:$F$164,$A30,'영수증 내역'!$H$6:$H$164,$B30)</f>
        <v/>
      </c>
      <c r="E30" s="10">
        <f>SUMIFS('영수증 내역'!$J$6:$J$164,'영수증 내역'!$O$6:$O$164,"Y",'영수증 내역'!$F$6:$F$164,$A30,'영수증 내역'!$H$6:$H$164,$B30)</f>
        <v/>
      </c>
      <c r="F30" s="10">
        <f>SUMIFS('영수증 내역'!$K$6:$K$164,'영수증 내역'!$O$6:$O$164,"Y",'영수증 내역'!$F$6:$F$164,$A30,'영수증 내역'!$H$6:$H$164,$B30)</f>
        <v/>
      </c>
      <c r="G30" s="10">
        <f>SUMIFS('영수증 내역'!$L$6:$L$164,'영수증 내역'!$O$6:$O$164,"Y",'영수증 내역'!$F$6:$F$164,$A30,'영수증 내역'!$H$6:$H$164,$B30)</f>
        <v/>
      </c>
      <c r="H30" s="10">
        <f>SUMIFS('영수증 내역'!$M$6:$M$164,'영수증 내역'!$O$6:$O$164,"Y",'영수증 내역'!$F$6:$F$164,$A30,'영수증 내역'!$H$6:$H$164,$B30)</f>
        <v/>
      </c>
    </row>
    <row r="31">
      <c r="A31" s="9" t="inlineStr">
        <is>
          <t>Domino's Pizza</t>
        </is>
      </c>
      <c r="B31" s="7" t="inlineStr">
        <is>
          <t>CAD</t>
        </is>
      </c>
      <c r="C31" s="9">
        <f>COUNTIFS('영수증 내역'!$O$6:$O$164,"Y",'영수증 내역'!$F$6:$F$164,$A31,'영수증 내역'!$H$6:$H$164,$B31)</f>
        <v/>
      </c>
      <c r="D31" s="10">
        <f>SUMIFS('영수증 내역'!$I$6:$I$164,'영수증 내역'!$O$6:$O$164,"Y",'영수증 내역'!$F$6:$F$164,$A31,'영수증 내역'!$H$6:$H$164,$B31)</f>
        <v/>
      </c>
      <c r="E31" s="10">
        <f>SUMIFS('영수증 내역'!$J$6:$J$164,'영수증 내역'!$O$6:$O$164,"Y",'영수증 내역'!$F$6:$F$164,$A31,'영수증 내역'!$H$6:$H$164,$B31)</f>
        <v/>
      </c>
      <c r="F31" s="10">
        <f>SUMIFS('영수증 내역'!$K$6:$K$164,'영수증 내역'!$O$6:$O$164,"Y",'영수증 내역'!$F$6:$F$164,$A31,'영수증 내역'!$H$6:$H$164,$B31)</f>
        <v/>
      </c>
      <c r="G31" s="10">
        <f>SUMIFS('영수증 내역'!$L$6:$L$164,'영수증 내역'!$O$6:$O$164,"Y",'영수증 내역'!$F$6:$F$164,$A31,'영수증 내역'!$H$6:$H$164,$B31)</f>
        <v/>
      </c>
      <c r="H31" s="10">
        <f>SUMIFS('영수증 내역'!$M$6:$M$164,'영수증 내역'!$O$6:$O$164,"Y",'영수증 내역'!$F$6:$F$164,$A31,'영수증 내역'!$H$6:$H$164,$B31)</f>
        <v/>
      </c>
    </row>
    <row r="32">
      <c r="A32" s="9" t="inlineStr">
        <is>
          <t>Kamen Ramen</t>
        </is>
      </c>
      <c r="B32" s="7" t="inlineStr">
        <is>
          <t>CAD</t>
        </is>
      </c>
      <c r="C32" s="9">
        <f>COUNTIFS('영수증 내역'!$O$6:$O$164,"Y",'영수증 내역'!$F$6:$F$164,$A32,'영수증 내역'!$H$6:$H$164,$B32)</f>
        <v/>
      </c>
      <c r="D32" s="10">
        <f>SUMIFS('영수증 내역'!$I$6:$I$164,'영수증 내역'!$O$6:$O$164,"Y",'영수증 내역'!$F$6:$F$164,$A32,'영수증 내역'!$H$6:$H$164,$B32)</f>
        <v/>
      </c>
      <c r="E32" s="10">
        <f>SUMIFS('영수증 내역'!$J$6:$J$164,'영수증 내역'!$O$6:$O$164,"Y",'영수증 내역'!$F$6:$F$164,$A32,'영수증 내역'!$H$6:$H$164,$B32)</f>
        <v/>
      </c>
      <c r="F32" s="10">
        <f>SUMIFS('영수증 내역'!$K$6:$K$164,'영수증 내역'!$O$6:$O$164,"Y",'영수증 내역'!$F$6:$F$164,$A32,'영수증 내역'!$H$6:$H$164,$B32)</f>
        <v/>
      </c>
      <c r="G32" s="10">
        <f>SUMIFS('영수증 내역'!$L$6:$L$164,'영수증 내역'!$O$6:$O$164,"Y",'영수증 내역'!$F$6:$F$164,$A32,'영수증 내역'!$H$6:$H$164,$B32)</f>
        <v/>
      </c>
      <c r="H32" s="10">
        <f>SUMIFS('영수증 내역'!$M$6:$M$164,'영수증 내역'!$O$6:$O$164,"Y",'영수증 내역'!$F$6:$F$164,$A32,'영수증 내역'!$H$6:$H$164,$B32)</f>
        <v/>
      </c>
    </row>
    <row r="33">
      <c r="A33" s="9" t="inlineStr">
        <is>
          <t>Woojoo</t>
        </is>
      </c>
      <c r="B33" s="7" t="inlineStr">
        <is>
          <t>CAD</t>
        </is>
      </c>
      <c r="C33" s="9">
        <f>COUNTIFS('영수증 내역'!$O$6:$O$164,"Y",'영수증 내역'!$F$6:$F$164,$A33,'영수증 내역'!$H$6:$H$164,$B33)</f>
        <v/>
      </c>
      <c r="D33" s="10">
        <f>SUMIFS('영수증 내역'!$I$6:$I$164,'영수증 내역'!$O$6:$O$164,"Y",'영수증 내역'!$F$6:$F$164,$A33,'영수증 내역'!$H$6:$H$164,$B33)</f>
        <v/>
      </c>
      <c r="E33" s="10">
        <f>SUMIFS('영수증 내역'!$J$6:$J$164,'영수증 내역'!$O$6:$O$164,"Y",'영수증 내역'!$F$6:$F$164,$A33,'영수증 내역'!$H$6:$H$164,$B33)</f>
        <v/>
      </c>
      <c r="F33" s="10">
        <f>SUMIFS('영수증 내역'!$K$6:$K$164,'영수증 내역'!$O$6:$O$164,"Y",'영수증 내역'!$F$6:$F$164,$A33,'영수증 내역'!$H$6:$H$164,$B33)</f>
        <v/>
      </c>
      <c r="G33" s="10">
        <f>SUMIFS('영수증 내역'!$L$6:$L$164,'영수증 내역'!$O$6:$O$164,"Y",'영수증 내역'!$F$6:$F$164,$A33,'영수증 내역'!$H$6:$H$164,$B33)</f>
        <v/>
      </c>
      <c r="H33" s="10">
        <f>SUMIFS('영수증 내역'!$M$6:$M$164,'영수증 내역'!$O$6:$O$164,"Y",'영수증 내역'!$F$6:$F$164,$A33,'영수증 내역'!$H$6:$H$164,$B33)</f>
        <v/>
      </c>
    </row>
    <row r="34">
      <c r="A34" s="9" t="inlineStr">
        <is>
          <t>Canco 718 Brampton</t>
        </is>
      </c>
      <c r="B34" s="7" t="inlineStr">
        <is>
          <t>CAD</t>
        </is>
      </c>
      <c r="C34" s="9">
        <f>COUNTIFS('영수증 내역'!$O$6:$O$164,"Y",'영수증 내역'!$F$6:$F$164,$A34,'영수증 내역'!$H$6:$H$164,$B34)</f>
        <v/>
      </c>
      <c r="D34" s="10">
        <f>SUMIFS('영수증 내역'!$I$6:$I$164,'영수증 내역'!$O$6:$O$164,"Y",'영수증 내역'!$F$6:$F$164,$A34,'영수증 내역'!$H$6:$H$164,$B34)</f>
        <v/>
      </c>
      <c r="E34" s="10">
        <f>SUMIFS('영수증 내역'!$J$6:$J$164,'영수증 내역'!$O$6:$O$164,"Y",'영수증 내역'!$F$6:$F$164,$A34,'영수증 내역'!$H$6:$H$164,$B34)</f>
        <v/>
      </c>
      <c r="F34" s="10">
        <f>SUMIFS('영수증 내역'!$K$6:$K$164,'영수증 내역'!$O$6:$O$164,"Y",'영수증 내역'!$F$6:$F$164,$A34,'영수증 내역'!$H$6:$H$164,$B34)</f>
        <v/>
      </c>
      <c r="G34" s="10">
        <f>SUMIFS('영수증 내역'!$L$6:$L$164,'영수증 내역'!$O$6:$O$164,"Y",'영수증 내역'!$F$6:$F$164,$A34,'영수증 내역'!$H$6:$H$164,$B34)</f>
        <v/>
      </c>
      <c r="H34" s="10">
        <f>SUMIFS('영수증 내역'!$M$6:$M$164,'영수증 내역'!$O$6:$O$164,"Y",'영수증 내역'!$F$6:$F$164,$A34,'영수증 내역'!$H$6:$H$164,$B34)</f>
        <v/>
      </c>
    </row>
    <row r="35">
      <c r="A35" s="9" t="inlineStr">
        <is>
          <t>ServiceOntario</t>
        </is>
      </c>
      <c r="B35" s="7" t="inlineStr">
        <is>
          <t>CAD</t>
        </is>
      </c>
      <c r="C35" s="9">
        <f>COUNTIFS('영수증 내역'!$O$6:$O$164,"Y",'영수증 내역'!$F$6:$F$164,$A35,'영수증 내역'!$H$6:$H$164,$B35)</f>
        <v/>
      </c>
      <c r="D35" s="10">
        <f>SUMIFS('영수증 내역'!$I$6:$I$164,'영수증 내역'!$O$6:$O$164,"Y",'영수증 내역'!$F$6:$F$164,$A35,'영수증 내역'!$H$6:$H$164,$B35)</f>
        <v/>
      </c>
      <c r="E35" s="10">
        <f>SUMIFS('영수증 내역'!$J$6:$J$164,'영수증 내역'!$O$6:$O$164,"Y",'영수증 내역'!$F$6:$F$164,$A35,'영수증 내역'!$H$6:$H$164,$B35)</f>
        <v/>
      </c>
      <c r="F35" s="10">
        <f>SUMIFS('영수증 내역'!$K$6:$K$164,'영수증 내역'!$O$6:$O$164,"Y",'영수증 내역'!$F$6:$F$164,$A35,'영수증 내역'!$H$6:$H$164,$B35)</f>
        <v/>
      </c>
      <c r="G35" s="10">
        <f>SUMIFS('영수증 내역'!$L$6:$L$164,'영수증 내역'!$O$6:$O$164,"Y",'영수증 내역'!$F$6:$F$164,$A35,'영수증 내역'!$H$6:$H$164,$B35)</f>
        <v/>
      </c>
      <c r="H35" s="10">
        <f>SUMIFS('영수증 내역'!$M$6:$M$164,'영수증 내역'!$O$6:$O$164,"Y",'영수증 내역'!$F$6:$F$164,$A35,'영수증 내역'!$H$6:$H$164,$B35)</f>
        <v/>
      </c>
    </row>
    <row r="36">
      <c r="A36" s="9" t="inlineStr">
        <is>
          <t>Gap Outlet (Vaughan Mills)</t>
        </is>
      </c>
      <c r="B36" s="7" t="inlineStr">
        <is>
          <t>CAD</t>
        </is>
      </c>
      <c r="C36" s="9">
        <f>COUNTIFS('영수증 내역'!$O$6:$O$164,"Y",'영수증 내역'!$F$6:$F$164,$A36,'영수증 내역'!$H$6:$H$164,$B36)</f>
        <v/>
      </c>
      <c r="D36" s="10">
        <f>SUMIFS('영수증 내역'!$I$6:$I$164,'영수증 내역'!$O$6:$O$164,"Y",'영수증 내역'!$F$6:$F$164,$A36,'영수증 내역'!$H$6:$H$164,$B36)</f>
        <v/>
      </c>
      <c r="E36" s="10">
        <f>SUMIFS('영수증 내역'!$J$6:$J$164,'영수증 내역'!$O$6:$O$164,"Y",'영수증 내역'!$F$6:$F$164,$A36,'영수증 내역'!$H$6:$H$164,$B36)</f>
        <v/>
      </c>
      <c r="F36" s="10">
        <f>SUMIFS('영수증 내역'!$K$6:$K$164,'영수증 내역'!$O$6:$O$164,"Y",'영수증 내역'!$F$6:$F$164,$A36,'영수증 내역'!$H$6:$H$164,$B36)</f>
        <v/>
      </c>
      <c r="G36" s="10">
        <f>SUMIFS('영수증 내역'!$L$6:$L$164,'영수증 내역'!$O$6:$O$164,"Y",'영수증 내역'!$F$6:$F$164,$A36,'영수증 내역'!$H$6:$H$164,$B36)</f>
        <v/>
      </c>
      <c r="H36" s="10">
        <f>SUMIFS('영수증 내역'!$M$6:$M$164,'영수증 내역'!$O$6:$O$164,"Y",'영수증 내역'!$F$6:$F$164,$A36,'영수증 내역'!$H$6:$H$164,$B36)</f>
        <v/>
      </c>
    </row>
    <row r="37">
      <c r="A37" s="9" t="inlineStr">
        <is>
          <t>Spring Garden Convenience</t>
        </is>
      </c>
      <c r="B37" s="7" t="inlineStr">
        <is>
          <t>CAD</t>
        </is>
      </c>
      <c r="C37" s="9">
        <f>COUNTIFS('영수증 내역'!$O$6:$O$164,"Y",'영수증 내역'!$F$6:$F$164,$A37,'영수증 내역'!$H$6:$H$164,$B37)</f>
        <v/>
      </c>
      <c r="D37" s="10">
        <f>SUMIFS('영수증 내역'!$I$6:$I$164,'영수증 내역'!$O$6:$O$164,"Y",'영수증 내역'!$F$6:$F$164,$A37,'영수증 내역'!$H$6:$H$164,$B37)</f>
        <v/>
      </c>
      <c r="E37" s="10">
        <f>SUMIFS('영수증 내역'!$J$6:$J$164,'영수증 내역'!$O$6:$O$164,"Y",'영수증 내역'!$F$6:$F$164,$A37,'영수증 내역'!$H$6:$H$164,$B37)</f>
        <v/>
      </c>
      <c r="F37" s="10">
        <f>SUMIFS('영수증 내역'!$K$6:$K$164,'영수증 내역'!$O$6:$O$164,"Y",'영수증 내역'!$F$6:$F$164,$A37,'영수증 내역'!$H$6:$H$164,$B37)</f>
        <v/>
      </c>
      <c r="G37" s="10">
        <f>SUMIFS('영수증 내역'!$L$6:$L$164,'영수증 내역'!$O$6:$O$164,"Y",'영수증 내역'!$F$6:$F$164,$A37,'영수증 내역'!$H$6:$H$164,$B37)</f>
        <v/>
      </c>
      <c r="H37" s="10">
        <f>SUMIFS('영수증 내역'!$M$6:$M$164,'영수증 내역'!$O$6:$O$164,"Y",'영수증 내역'!$F$6:$F$164,$A37,'영수증 내역'!$H$6:$H$164,$B37)</f>
        <v/>
      </c>
    </row>
    <row r="38">
      <c r="A38" s="9" t="inlineStr">
        <is>
          <t>Uncle Tetsu</t>
        </is>
      </c>
      <c r="B38" s="7" t="inlineStr">
        <is>
          <t>CAD</t>
        </is>
      </c>
      <c r="C38" s="9">
        <f>COUNTIFS('영수증 내역'!$O$6:$O$164,"Y",'영수증 내역'!$F$6:$F$164,$A38,'영수증 내역'!$H$6:$H$164,$B38)</f>
        <v/>
      </c>
      <c r="D38" s="10">
        <f>SUMIFS('영수증 내역'!$I$6:$I$164,'영수증 내역'!$O$6:$O$164,"Y",'영수증 내역'!$F$6:$F$164,$A38,'영수증 내역'!$H$6:$H$164,$B38)</f>
        <v/>
      </c>
      <c r="E38" s="10">
        <f>SUMIFS('영수증 내역'!$J$6:$J$164,'영수증 내역'!$O$6:$O$164,"Y",'영수증 내역'!$F$6:$F$164,$A38,'영수증 내역'!$H$6:$H$164,$B38)</f>
        <v/>
      </c>
      <c r="F38" s="10">
        <f>SUMIFS('영수증 내역'!$K$6:$K$164,'영수증 내역'!$O$6:$O$164,"Y",'영수증 내역'!$F$6:$F$164,$A38,'영수증 내역'!$H$6:$H$164,$B38)</f>
        <v/>
      </c>
      <c r="G38" s="10">
        <f>SUMIFS('영수증 내역'!$L$6:$L$164,'영수증 내역'!$O$6:$O$164,"Y",'영수증 내역'!$F$6:$F$164,$A38,'영수증 내역'!$H$6:$H$164,$B38)</f>
        <v/>
      </c>
      <c r="H38" s="10">
        <f>SUMIFS('영수증 내역'!$M$6:$M$164,'영수증 내역'!$O$6:$O$164,"Y",'영수증 내역'!$F$6:$F$164,$A38,'영수증 내역'!$H$6:$H$164,$B38)</f>
        <v/>
      </c>
    </row>
    <row r="39">
      <c r="A39" s="9" t="inlineStr">
        <is>
          <t>McDonald's</t>
        </is>
      </c>
      <c r="B39" s="7" t="inlineStr">
        <is>
          <t>CAD</t>
        </is>
      </c>
      <c r="C39" s="9">
        <f>COUNTIFS('영수증 내역'!$O$6:$O$164,"Y",'영수증 내역'!$F$6:$F$164,$A39,'영수증 내역'!$H$6:$H$164,$B39)</f>
        <v/>
      </c>
      <c r="D39" s="10">
        <f>SUMIFS('영수증 내역'!$I$6:$I$164,'영수증 내역'!$O$6:$O$164,"Y",'영수증 내역'!$F$6:$F$164,$A39,'영수증 내역'!$H$6:$H$164,$B39)</f>
        <v/>
      </c>
      <c r="E39" s="10">
        <f>SUMIFS('영수증 내역'!$J$6:$J$164,'영수증 내역'!$O$6:$O$164,"Y",'영수증 내역'!$F$6:$F$164,$A39,'영수증 내역'!$H$6:$H$164,$B39)</f>
        <v/>
      </c>
      <c r="F39" s="10">
        <f>SUMIFS('영수증 내역'!$K$6:$K$164,'영수증 내역'!$O$6:$O$164,"Y",'영수증 내역'!$F$6:$F$164,$A39,'영수증 내역'!$H$6:$H$164,$B39)</f>
        <v/>
      </c>
      <c r="G39" s="10">
        <f>SUMIFS('영수증 내역'!$L$6:$L$164,'영수증 내역'!$O$6:$O$164,"Y",'영수증 내역'!$F$6:$F$164,$A39,'영수증 내역'!$H$6:$H$164,$B39)</f>
        <v/>
      </c>
      <c r="H39" s="10">
        <f>SUMIFS('영수증 내역'!$M$6:$M$164,'영수증 내역'!$O$6:$O$164,"Y",'영수증 내역'!$F$6:$F$164,$A39,'영수증 내역'!$H$6:$H$164,$B39)</f>
        <v/>
      </c>
    </row>
    <row r="40">
      <c r="A40" s="9" t="inlineStr">
        <is>
          <t>Gimbap Shop</t>
        </is>
      </c>
      <c r="B40" s="7" t="inlineStr">
        <is>
          <t>CAD</t>
        </is>
      </c>
      <c r="C40" s="9">
        <f>COUNTIFS('영수증 내역'!$O$6:$O$164,"Y",'영수증 내역'!$F$6:$F$164,$A40,'영수증 내역'!$H$6:$H$164,$B40)</f>
        <v/>
      </c>
      <c r="D40" s="10">
        <f>SUMIFS('영수증 내역'!$I$6:$I$164,'영수증 내역'!$O$6:$O$164,"Y",'영수증 내역'!$F$6:$F$164,$A40,'영수증 내역'!$H$6:$H$164,$B40)</f>
        <v/>
      </c>
      <c r="E40" s="10">
        <f>SUMIFS('영수증 내역'!$J$6:$J$164,'영수증 내역'!$O$6:$O$164,"Y",'영수증 내역'!$F$6:$F$164,$A40,'영수증 내역'!$H$6:$H$164,$B40)</f>
        <v/>
      </c>
      <c r="F40" s="10">
        <f>SUMIFS('영수증 내역'!$K$6:$K$164,'영수증 내역'!$O$6:$O$164,"Y",'영수증 내역'!$F$6:$F$164,$A40,'영수증 내역'!$H$6:$H$164,$B40)</f>
        <v/>
      </c>
      <c r="G40" s="10">
        <f>SUMIFS('영수증 내역'!$L$6:$L$164,'영수증 내역'!$O$6:$O$164,"Y",'영수증 내역'!$F$6:$F$164,$A40,'영수증 내역'!$H$6:$H$164,$B40)</f>
        <v/>
      </c>
      <c r="H40" s="10">
        <f>SUMIFS('영수증 내역'!$M$6:$M$164,'영수증 내역'!$O$6:$O$164,"Y",'영수증 내역'!$F$6:$F$164,$A40,'영수증 내역'!$H$6:$H$164,$B40)</f>
        <v/>
      </c>
    </row>
    <row r="41">
      <c r="A41" s="9" t="inlineStr">
        <is>
          <t>Gyodong Mississauga</t>
        </is>
      </c>
      <c r="B41" s="7" t="inlineStr">
        <is>
          <t>CAD</t>
        </is>
      </c>
      <c r="C41" s="9">
        <f>COUNTIFS('영수증 내역'!$O$6:$O$164,"Y",'영수증 내역'!$F$6:$F$164,$A41,'영수증 내역'!$H$6:$H$164,$B41)</f>
        <v/>
      </c>
      <c r="D41" s="10">
        <f>SUMIFS('영수증 내역'!$I$6:$I$164,'영수증 내역'!$O$6:$O$164,"Y",'영수증 내역'!$F$6:$F$164,$A41,'영수증 내역'!$H$6:$H$164,$B41)</f>
        <v/>
      </c>
      <c r="E41" s="10">
        <f>SUMIFS('영수증 내역'!$J$6:$J$164,'영수증 내역'!$O$6:$O$164,"Y",'영수증 내역'!$F$6:$F$164,$A41,'영수증 내역'!$H$6:$H$164,$B41)</f>
        <v/>
      </c>
      <c r="F41" s="10">
        <f>SUMIFS('영수증 내역'!$K$6:$K$164,'영수증 내역'!$O$6:$O$164,"Y",'영수증 내역'!$F$6:$F$164,$A41,'영수증 내역'!$H$6:$H$164,$B41)</f>
        <v/>
      </c>
      <c r="G41" s="10">
        <f>SUMIFS('영수증 내역'!$L$6:$L$164,'영수증 내역'!$O$6:$O$164,"Y",'영수증 내역'!$F$6:$F$164,$A41,'영수증 내역'!$H$6:$H$164,$B41)</f>
        <v/>
      </c>
      <c r="H41" s="10">
        <f>SUMIFS('영수증 내역'!$M$6:$M$164,'영수증 내역'!$O$6:$O$164,"Y",'영수증 내역'!$F$6:$F$164,$A41,'영수증 내역'!$H$6:$H$164,$B41)</f>
        <v/>
      </c>
    </row>
    <row r="42">
      <c r="A42" s="9" t="inlineStr">
        <is>
          <t>Pioneer 주유소</t>
        </is>
      </c>
      <c r="B42" s="7" t="inlineStr">
        <is>
          <t>CAD</t>
        </is>
      </c>
      <c r="C42" s="9">
        <f>COUNTIFS('영수증 내역'!$O$6:$O$164,"Y",'영수증 내역'!$F$6:$F$164,$A42,'영수증 내역'!$H$6:$H$164,$B42)</f>
        <v/>
      </c>
      <c r="D42" s="10">
        <f>SUMIFS('영수증 내역'!$I$6:$I$164,'영수증 내역'!$O$6:$O$164,"Y",'영수증 내역'!$F$6:$F$164,$A42,'영수증 내역'!$H$6:$H$164,$B42)</f>
        <v/>
      </c>
      <c r="E42" s="10">
        <f>SUMIFS('영수증 내역'!$J$6:$J$164,'영수증 내역'!$O$6:$O$164,"Y",'영수증 내역'!$F$6:$F$164,$A42,'영수증 내역'!$H$6:$H$164,$B42)</f>
        <v/>
      </c>
      <c r="F42" s="10">
        <f>SUMIFS('영수증 내역'!$K$6:$K$164,'영수증 내역'!$O$6:$O$164,"Y",'영수증 내역'!$F$6:$F$164,$A42,'영수증 내역'!$H$6:$H$164,$B42)</f>
        <v/>
      </c>
      <c r="G42" s="10">
        <f>SUMIFS('영수증 내역'!$L$6:$L$164,'영수증 내역'!$O$6:$O$164,"Y",'영수증 내역'!$F$6:$F$164,$A42,'영수증 내역'!$H$6:$H$164,$B42)</f>
        <v/>
      </c>
      <c r="H42" s="10">
        <f>SUMIFS('영수증 내역'!$M$6:$M$164,'영수증 내역'!$O$6:$O$164,"Y",'영수증 내역'!$F$6:$F$164,$A42,'영수증 내역'!$H$6:$H$164,$B42)</f>
        <v/>
      </c>
    </row>
    <row r="43">
      <c r="A43" s="9" t="inlineStr">
        <is>
          <t>IKEA Etobicoke</t>
        </is>
      </c>
      <c r="B43" s="7" t="inlineStr">
        <is>
          <t>CAD</t>
        </is>
      </c>
      <c r="C43" s="9">
        <f>COUNTIFS('영수증 내역'!$O$6:$O$164,"Y",'영수증 내역'!$F$6:$F$164,$A43,'영수증 내역'!$H$6:$H$164,$B43)</f>
        <v/>
      </c>
      <c r="D43" s="10">
        <f>SUMIFS('영수증 내역'!$I$6:$I$164,'영수증 내역'!$O$6:$O$164,"Y",'영수증 내역'!$F$6:$F$164,$A43,'영수증 내역'!$H$6:$H$164,$B43)</f>
        <v/>
      </c>
      <c r="E43" s="10">
        <f>SUMIFS('영수증 내역'!$J$6:$J$164,'영수증 내역'!$O$6:$O$164,"Y",'영수증 내역'!$F$6:$F$164,$A43,'영수증 내역'!$H$6:$H$164,$B43)</f>
        <v/>
      </c>
      <c r="F43" s="10">
        <f>SUMIFS('영수증 내역'!$K$6:$K$164,'영수증 내역'!$O$6:$O$164,"Y",'영수증 내역'!$F$6:$F$164,$A43,'영수증 내역'!$H$6:$H$164,$B43)</f>
        <v/>
      </c>
      <c r="G43" s="10">
        <f>SUMIFS('영수증 내역'!$L$6:$L$164,'영수증 내역'!$O$6:$O$164,"Y",'영수증 내역'!$F$6:$F$164,$A43,'영수증 내역'!$H$6:$H$164,$B43)</f>
        <v/>
      </c>
      <c r="H43" s="10">
        <f>SUMIFS('영수증 내역'!$M$6:$M$164,'영수증 내역'!$O$6:$O$164,"Y",'영수증 내역'!$F$6:$F$164,$A43,'영수증 내역'!$H$6:$H$164,$B43)</f>
        <v/>
      </c>
    </row>
    <row r="44">
      <c r="A44" s="9" t="inlineStr">
        <is>
          <t>LCBO (Hurontario Centre)</t>
        </is>
      </c>
      <c r="B44" s="7" t="inlineStr">
        <is>
          <t>CAD</t>
        </is>
      </c>
      <c r="C44" s="9">
        <f>COUNTIFS('영수증 내역'!$O$6:$O$164,"Y",'영수증 내역'!$F$6:$F$164,$A44,'영수증 내역'!$H$6:$H$164,$B44)</f>
        <v/>
      </c>
      <c r="D44" s="10">
        <f>SUMIFS('영수증 내역'!$I$6:$I$164,'영수증 내역'!$O$6:$O$164,"Y",'영수증 내역'!$F$6:$F$164,$A44,'영수증 내역'!$H$6:$H$164,$B44)</f>
        <v/>
      </c>
      <c r="E44" s="10">
        <f>SUMIFS('영수증 내역'!$J$6:$J$164,'영수증 내역'!$O$6:$O$164,"Y",'영수증 내역'!$F$6:$F$164,$A44,'영수증 내역'!$H$6:$H$164,$B44)</f>
        <v/>
      </c>
      <c r="F44" s="10">
        <f>SUMIFS('영수증 내역'!$K$6:$K$164,'영수증 내역'!$O$6:$O$164,"Y",'영수증 내역'!$F$6:$F$164,$A44,'영수증 내역'!$H$6:$H$164,$B44)</f>
        <v/>
      </c>
      <c r="G44" s="10">
        <f>SUMIFS('영수증 내역'!$L$6:$L$164,'영수증 내역'!$O$6:$O$164,"Y",'영수증 내역'!$F$6:$F$164,$A44,'영수증 내역'!$H$6:$H$164,$B44)</f>
        <v/>
      </c>
      <c r="H44" s="10">
        <f>SUMIFS('영수증 내역'!$M$6:$M$164,'영수증 내역'!$O$6:$O$164,"Y",'영수증 내역'!$F$6:$F$164,$A44,'영수증 내역'!$H$6:$H$164,$B44)</f>
        <v/>
      </c>
    </row>
    <row r="45">
      <c r="A45" s="9" t="inlineStr">
        <is>
          <t>MPAC Propertyline</t>
        </is>
      </c>
      <c r="B45" s="7" t="inlineStr">
        <is>
          <t>CAD</t>
        </is>
      </c>
      <c r="C45" s="9">
        <f>COUNTIFS('영수증 내역'!$O$6:$O$164,"Y",'영수증 내역'!$F$6:$F$164,$A45,'영수증 내역'!$H$6:$H$164,$B45)</f>
        <v/>
      </c>
      <c r="D45" s="10">
        <f>SUMIFS('영수증 내역'!$I$6:$I$164,'영수증 내역'!$O$6:$O$164,"Y",'영수증 내역'!$F$6:$F$164,$A45,'영수증 내역'!$H$6:$H$164,$B45)</f>
        <v/>
      </c>
      <c r="E45" s="10">
        <f>SUMIFS('영수증 내역'!$J$6:$J$164,'영수증 내역'!$O$6:$O$164,"Y",'영수증 내역'!$F$6:$F$164,$A45,'영수증 내역'!$H$6:$H$164,$B45)</f>
        <v/>
      </c>
      <c r="F45" s="10">
        <f>SUMIFS('영수증 내역'!$K$6:$K$164,'영수증 내역'!$O$6:$O$164,"Y",'영수증 내역'!$F$6:$F$164,$A45,'영수증 내역'!$H$6:$H$164,$B45)</f>
        <v/>
      </c>
      <c r="G45" s="10">
        <f>SUMIFS('영수증 내역'!$L$6:$L$164,'영수증 내역'!$O$6:$O$164,"Y",'영수증 내역'!$F$6:$F$164,$A45,'영수증 내역'!$H$6:$H$164,$B45)</f>
        <v/>
      </c>
      <c r="H45" s="10">
        <f>SUMIFS('영수증 내역'!$M$6:$M$164,'영수증 내역'!$O$6:$O$164,"Y",'영수증 내역'!$F$6:$F$164,$A45,'영수증 내역'!$H$6:$H$164,$B45)</f>
        <v/>
      </c>
    </row>
    <row r="46">
      <c r="A46" s="9" t="inlineStr">
        <is>
          <t>Pizza Hut</t>
        </is>
      </c>
      <c r="B46" s="7" t="inlineStr">
        <is>
          <t>CAD</t>
        </is>
      </c>
      <c r="C46" s="9">
        <f>COUNTIFS('영수증 내역'!$O$6:$O$164,"Y",'영수증 내역'!$F$6:$F$164,$A46,'영수증 내역'!$H$6:$H$164,$B46)</f>
        <v/>
      </c>
      <c r="D46" s="10">
        <f>SUMIFS('영수증 내역'!$I$6:$I$164,'영수증 내역'!$O$6:$O$164,"Y",'영수증 내역'!$F$6:$F$164,$A46,'영수증 내역'!$H$6:$H$164,$B46)</f>
        <v/>
      </c>
      <c r="E46" s="10">
        <f>SUMIFS('영수증 내역'!$J$6:$J$164,'영수증 내역'!$O$6:$O$164,"Y",'영수증 내역'!$F$6:$F$164,$A46,'영수증 내역'!$H$6:$H$164,$B46)</f>
        <v/>
      </c>
      <c r="F46" s="10">
        <f>SUMIFS('영수증 내역'!$K$6:$K$164,'영수증 내역'!$O$6:$O$164,"Y",'영수증 내역'!$F$6:$F$164,$A46,'영수증 내역'!$H$6:$H$164,$B46)</f>
        <v/>
      </c>
      <c r="G46" s="10">
        <f>SUMIFS('영수증 내역'!$L$6:$L$164,'영수증 내역'!$O$6:$O$164,"Y",'영수증 내역'!$F$6:$F$164,$A46,'영수증 내역'!$H$6:$H$164,$B46)</f>
        <v/>
      </c>
      <c r="H46" s="10">
        <f>SUMIFS('영수증 내역'!$M$6:$M$164,'영수증 내역'!$O$6:$O$164,"Y",'영수증 내역'!$F$6:$F$164,$A46,'영수증 내역'!$H$6:$H$164,$B46)</f>
        <v/>
      </c>
    </row>
    <row r="47">
      <c r="A47" s="9" t="inlineStr">
        <is>
          <t>Bao House (Yonge &amp; Wellesley)</t>
        </is>
      </c>
      <c r="B47" s="7" t="inlineStr">
        <is>
          <t>CAD</t>
        </is>
      </c>
      <c r="C47" s="9">
        <f>COUNTIFS('영수증 내역'!$O$6:$O$164,"Y",'영수증 내역'!$F$6:$F$164,$A47,'영수증 내역'!$H$6:$H$164,$B47)</f>
        <v/>
      </c>
      <c r="D47" s="10">
        <f>SUMIFS('영수증 내역'!$I$6:$I$164,'영수증 내역'!$O$6:$O$164,"Y",'영수증 내역'!$F$6:$F$164,$A47,'영수증 내역'!$H$6:$H$164,$B47)</f>
        <v/>
      </c>
      <c r="E47" s="10">
        <f>SUMIFS('영수증 내역'!$J$6:$J$164,'영수증 내역'!$O$6:$O$164,"Y",'영수증 내역'!$F$6:$F$164,$A47,'영수증 내역'!$H$6:$H$164,$B47)</f>
        <v/>
      </c>
      <c r="F47" s="10">
        <f>SUMIFS('영수증 내역'!$K$6:$K$164,'영수증 내역'!$O$6:$O$164,"Y",'영수증 내역'!$F$6:$F$164,$A47,'영수증 내역'!$H$6:$H$164,$B47)</f>
        <v/>
      </c>
      <c r="G47" s="10">
        <f>SUMIFS('영수증 내역'!$L$6:$L$164,'영수증 내역'!$O$6:$O$164,"Y",'영수증 내역'!$F$6:$F$164,$A47,'영수증 내역'!$H$6:$H$164,$B47)</f>
        <v/>
      </c>
      <c r="H47" s="10">
        <f>SUMIFS('영수증 내역'!$M$6:$M$164,'영수증 내역'!$O$6:$O$164,"Y",'영수증 내역'!$F$6:$F$164,$A47,'영수증 내역'!$H$6:$H$164,$B47)</f>
        <v/>
      </c>
    </row>
    <row r="48">
      <c r="A48" s="9" t="inlineStr">
        <is>
          <t>Oretta (Downtown)</t>
        </is>
      </c>
      <c r="B48" s="7" t="inlineStr">
        <is>
          <t>CAD</t>
        </is>
      </c>
      <c r="C48" s="9">
        <f>COUNTIFS('영수증 내역'!$O$6:$O$164,"Y",'영수증 내역'!$F$6:$F$164,$A48,'영수증 내역'!$H$6:$H$164,$B48)</f>
        <v/>
      </c>
      <c r="D48" s="10">
        <f>SUMIFS('영수증 내역'!$I$6:$I$164,'영수증 내역'!$O$6:$O$164,"Y",'영수증 내역'!$F$6:$F$164,$A48,'영수증 내역'!$H$6:$H$164,$B48)</f>
        <v/>
      </c>
      <c r="E48" s="10">
        <f>SUMIFS('영수증 내역'!$J$6:$J$164,'영수증 내역'!$O$6:$O$164,"Y",'영수증 내역'!$F$6:$F$164,$A48,'영수증 내역'!$H$6:$H$164,$B48)</f>
        <v/>
      </c>
      <c r="F48" s="10">
        <f>SUMIFS('영수증 내역'!$K$6:$K$164,'영수증 내역'!$O$6:$O$164,"Y",'영수증 내역'!$F$6:$F$164,$A48,'영수증 내역'!$H$6:$H$164,$B48)</f>
        <v/>
      </c>
      <c r="G48" s="10">
        <f>SUMIFS('영수증 내역'!$L$6:$L$164,'영수증 내역'!$O$6:$O$164,"Y",'영수증 내역'!$F$6:$F$164,$A48,'영수증 내역'!$H$6:$H$164,$B48)</f>
        <v/>
      </c>
      <c r="H48" s="10">
        <f>SUMIFS('영수증 내역'!$M$6:$M$164,'영수증 내역'!$O$6:$O$164,"Y",'영수증 내역'!$F$6:$F$164,$A48,'영수증 내역'!$H$6:$H$164,$B48)</f>
        <v/>
      </c>
    </row>
    <row r="49">
      <c r="A49" s="9" t="inlineStr">
        <is>
          <t>Krispy Kreme</t>
        </is>
      </c>
      <c r="B49" s="7" t="inlineStr">
        <is>
          <t>CAD</t>
        </is>
      </c>
      <c r="C49" s="9">
        <f>COUNTIFS('영수증 내역'!$O$6:$O$164,"Y",'영수증 내역'!$F$6:$F$164,$A49,'영수증 내역'!$H$6:$H$164,$B49)</f>
        <v/>
      </c>
      <c r="D49" s="10">
        <f>SUMIFS('영수증 내역'!$I$6:$I$164,'영수증 내역'!$O$6:$O$164,"Y",'영수증 내역'!$F$6:$F$164,$A49,'영수증 내역'!$H$6:$H$164,$B49)</f>
        <v/>
      </c>
      <c r="E49" s="10">
        <f>SUMIFS('영수증 내역'!$J$6:$J$164,'영수증 내역'!$O$6:$O$164,"Y",'영수증 내역'!$F$6:$F$164,$A49,'영수증 내역'!$H$6:$H$164,$B49)</f>
        <v/>
      </c>
      <c r="F49" s="10">
        <f>SUMIFS('영수증 내역'!$K$6:$K$164,'영수증 내역'!$O$6:$O$164,"Y",'영수증 내역'!$F$6:$F$164,$A49,'영수증 내역'!$H$6:$H$164,$B49)</f>
        <v/>
      </c>
      <c r="G49" s="10">
        <f>SUMIFS('영수증 내역'!$L$6:$L$164,'영수증 내역'!$O$6:$O$164,"Y",'영수증 내역'!$F$6:$F$164,$A49,'영수증 내역'!$H$6:$H$164,$B49)</f>
        <v/>
      </c>
      <c r="H49" s="10">
        <f>SUMIFS('영수증 내역'!$M$6:$M$164,'영수증 내역'!$O$6:$O$164,"Y",'영수증 내역'!$F$6:$F$164,$A49,'영수증 내역'!$H$6:$H$164,$B49)</f>
        <v/>
      </c>
    </row>
    <row r="50">
      <c r="A50" s="9" t="inlineStr">
        <is>
          <t>Shout Karaoke</t>
        </is>
      </c>
      <c r="B50" s="7" t="inlineStr">
        <is>
          <t>CAD</t>
        </is>
      </c>
      <c r="C50" s="9">
        <f>COUNTIFS('영수증 내역'!$O$6:$O$164,"Y",'영수증 내역'!$F$6:$F$164,$A50,'영수증 내역'!$H$6:$H$164,$B50)</f>
        <v/>
      </c>
      <c r="D50" s="10">
        <f>SUMIFS('영수증 내역'!$I$6:$I$164,'영수증 내역'!$O$6:$O$164,"Y",'영수증 내역'!$F$6:$F$164,$A50,'영수증 내역'!$H$6:$H$164,$B50)</f>
        <v/>
      </c>
      <c r="E50" s="10">
        <f>SUMIFS('영수증 내역'!$J$6:$J$164,'영수증 내역'!$O$6:$O$164,"Y",'영수증 내역'!$F$6:$F$164,$A50,'영수증 내역'!$H$6:$H$164,$B50)</f>
        <v/>
      </c>
      <c r="F50" s="10">
        <f>SUMIFS('영수증 내역'!$K$6:$K$164,'영수증 내역'!$O$6:$O$164,"Y",'영수증 내역'!$F$6:$F$164,$A50,'영수증 내역'!$H$6:$H$164,$B50)</f>
        <v/>
      </c>
      <c r="G50" s="10">
        <f>SUMIFS('영수증 내역'!$L$6:$L$164,'영수증 내역'!$O$6:$O$164,"Y",'영수증 내역'!$F$6:$F$164,$A50,'영수증 내역'!$H$6:$H$164,$B50)</f>
        <v/>
      </c>
      <c r="H50" s="10">
        <f>SUMIFS('영수증 내역'!$M$6:$M$164,'영수증 내역'!$O$6:$O$164,"Y",'영수증 내역'!$F$6:$F$164,$A50,'영수증 내역'!$H$6:$H$164,$B50)</f>
        <v/>
      </c>
    </row>
    <row r="51">
      <c r="A51" s="9" t="inlineStr">
        <is>
          <t>Bourbon St. Grill</t>
        </is>
      </c>
      <c r="B51" s="7" t="inlineStr">
        <is>
          <t>CAD</t>
        </is>
      </c>
      <c r="C51" s="9">
        <f>COUNTIFS('영수증 내역'!$O$6:$O$164,"Y",'영수증 내역'!$F$6:$F$164,$A51,'영수증 내역'!$H$6:$H$164,$B51)</f>
        <v/>
      </c>
      <c r="D51" s="10">
        <f>SUMIFS('영수증 내역'!$I$6:$I$164,'영수증 내역'!$O$6:$O$164,"Y",'영수증 내역'!$F$6:$F$164,$A51,'영수증 내역'!$H$6:$H$164,$B51)</f>
        <v/>
      </c>
      <c r="E51" s="10">
        <f>SUMIFS('영수증 내역'!$J$6:$J$164,'영수증 내역'!$O$6:$O$164,"Y",'영수증 내역'!$F$6:$F$164,$A51,'영수증 내역'!$H$6:$H$164,$B51)</f>
        <v/>
      </c>
      <c r="F51" s="10">
        <f>SUMIFS('영수증 내역'!$K$6:$K$164,'영수증 내역'!$O$6:$O$164,"Y",'영수증 내역'!$F$6:$F$164,$A51,'영수증 내역'!$H$6:$H$164,$B51)</f>
        <v/>
      </c>
      <c r="G51" s="10">
        <f>SUMIFS('영수증 내역'!$L$6:$L$164,'영수증 내역'!$O$6:$O$164,"Y",'영수증 내역'!$F$6:$F$164,$A51,'영수증 내역'!$H$6:$H$164,$B51)</f>
        <v/>
      </c>
      <c r="H51" s="10">
        <f>SUMIFS('영수증 내역'!$M$6:$M$164,'영수증 내역'!$O$6:$O$164,"Y",'영수증 내역'!$F$6:$F$164,$A51,'영수증 내역'!$H$6:$H$164,$B51)</f>
        <v/>
      </c>
    </row>
    <row r="52">
      <c r="A52" s="9" t="inlineStr">
        <is>
          <t>Canva (Canva Business 구독)</t>
        </is>
      </c>
      <c r="B52" s="7" t="inlineStr">
        <is>
          <t>CAD</t>
        </is>
      </c>
      <c r="C52" s="9">
        <f>COUNTIFS('영수증 내역'!$O$6:$O$164,"Y",'영수증 내역'!$F$6:$F$164,$A52,'영수증 내역'!$H$6:$H$164,$B52)</f>
        <v/>
      </c>
      <c r="D52" s="10">
        <f>SUMIFS('영수증 내역'!$I$6:$I$164,'영수증 내역'!$O$6:$O$164,"Y",'영수증 내역'!$F$6:$F$164,$A52,'영수증 내역'!$H$6:$H$164,$B52)</f>
        <v/>
      </c>
      <c r="E52" s="10">
        <f>SUMIFS('영수증 내역'!$J$6:$J$164,'영수증 내역'!$O$6:$O$164,"Y",'영수증 내역'!$F$6:$F$164,$A52,'영수증 내역'!$H$6:$H$164,$B52)</f>
        <v/>
      </c>
      <c r="F52" s="10">
        <f>SUMIFS('영수증 내역'!$K$6:$K$164,'영수증 내역'!$O$6:$O$164,"Y",'영수증 내역'!$F$6:$F$164,$A52,'영수증 내역'!$H$6:$H$164,$B52)</f>
        <v/>
      </c>
      <c r="G52" s="10">
        <f>SUMIFS('영수증 내역'!$L$6:$L$164,'영수증 내역'!$O$6:$O$164,"Y",'영수증 내역'!$F$6:$F$164,$A52,'영수증 내역'!$H$6:$H$164,$B52)</f>
        <v/>
      </c>
      <c r="H52" s="10">
        <f>SUMIFS('영수증 내역'!$M$6:$M$164,'영수증 내역'!$O$6:$O$164,"Y",'영수증 내역'!$F$6:$F$164,$A52,'영수증 내역'!$H$6:$H$164,$B52)</f>
        <v/>
      </c>
    </row>
    <row r="53">
      <c r="A53" s="9" t="inlineStr">
        <is>
          <t>Sunny Dragon</t>
        </is>
      </c>
      <c r="B53" s="7" t="inlineStr">
        <is>
          <t>CAD</t>
        </is>
      </c>
      <c r="C53" s="9">
        <f>COUNTIFS('영수증 내역'!$O$6:$O$164,"Y",'영수증 내역'!$F$6:$F$164,$A53,'영수증 내역'!$H$6:$H$164,$B53)</f>
        <v/>
      </c>
      <c r="D53" s="10">
        <f>SUMIFS('영수증 내역'!$I$6:$I$164,'영수증 내역'!$O$6:$O$164,"Y",'영수증 내역'!$F$6:$F$164,$A53,'영수증 내역'!$H$6:$H$164,$B53)</f>
        <v/>
      </c>
      <c r="E53" s="10">
        <f>SUMIFS('영수증 내역'!$J$6:$J$164,'영수증 내역'!$O$6:$O$164,"Y",'영수증 내역'!$F$6:$F$164,$A53,'영수증 내역'!$H$6:$H$164,$B53)</f>
        <v/>
      </c>
      <c r="F53" s="10">
        <f>SUMIFS('영수증 내역'!$K$6:$K$164,'영수증 내역'!$O$6:$O$164,"Y",'영수증 내역'!$F$6:$F$164,$A53,'영수증 내역'!$H$6:$H$164,$B53)</f>
        <v/>
      </c>
      <c r="G53" s="10">
        <f>SUMIFS('영수증 내역'!$L$6:$L$164,'영수증 내역'!$O$6:$O$164,"Y",'영수증 내역'!$F$6:$F$164,$A53,'영수증 내역'!$H$6:$H$164,$B53)</f>
        <v/>
      </c>
      <c r="H53" s="10">
        <f>SUMIFS('영수증 내역'!$M$6:$M$164,'영수증 내역'!$O$6:$O$164,"Y",'영수증 내역'!$F$6:$F$164,$A53,'영수증 내역'!$H$6:$H$164,$B53)</f>
        <v/>
      </c>
    </row>
    <row r="54">
      <c r="A54" s="9" t="inlineStr">
        <is>
          <t>Costco 약국</t>
        </is>
      </c>
      <c r="B54" s="7" t="inlineStr">
        <is>
          <t>CAD</t>
        </is>
      </c>
      <c r="C54" s="9">
        <f>COUNTIFS('영수증 내역'!$O$6:$O$164,"Y",'영수증 내역'!$F$6:$F$164,$A54,'영수증 내역'!$H$6:$H$164,$B54)</f>
        <v/>
      </c>
      <c r="D54" s="10">
        <f>SUMIFS('영수증 내역'!$I$6:$I$164,'영수증 내역'!$O$6:$O$164,"Y",'영수증 내역'!$F$6:$F$164,$A54,'영수증 내역'!$H$6:$H$164,$B54)</f>
        <v/>
      </c>
      <c r="E54" s="10">
        <f>SUMIFS('영수증 내역'!$J$6:$J$164,'영수증 내역'!$O$6:$O$164,"Y",'영수증 내역'!$F$6:$F$164,$A54,'영수증 내역'!$H$6:$H$164,$B54)</f>
        <v/>
      </c>
      <c r="F54" s="10">
        <f>SUMIFS('영수증 내역'!$K$6:$K$164,'영수증 내역'!$O$6:$O$164,"Y",'영수증 내역'!$F$6:$F$164,$A54,'영수증 내역'!$H$6:$H$164,$B54)</f>
        <v/>
      </c>
      <c r="G54" s="10">
        <f>SUMIFS('영수증 내역'!$L$6:$L$164,'영수증 내역'!$O$6:$O$164,"Y",'영수증 내역'!$F$6:$F$164,$A54,'영수증 내역'!$H$6:$H$164,$B54)</f>
        <v/>
      </c>
      <c r="H54" s="10">
        <f>SUMIFS('영수증 내역'!$M$6:$M$164,'영수증 내역'!$O$6:$O$164,"Y",'영수증 내역'!$F$6:$F$164,$A54,'영수증 내역'!$H$6:$H$164,$B54)</f>
        <v/>
      </c>
    </row>
    <row r="55">
      <c r="A55" s="9" t="inlineStr">
        <is>
          <t>LOT82 College Park (주차)</t>
        </is>
      </c>
      <c r="B55" s="7" t="inlineStr">
        <is>
          <t>CAD</t>
        </is>
      </c>
      <c r="C55" s="9">
        <f>COUNTIFS('영수증 내역'!$O$6:$O$164,"Y",'영수증 내역'!$F$6:$F$164,$A55,'영수증 내역'!$H$6:$H$164,$B55)</f>
        <v/>
      </c>
      <c r="D55" s="10">
        <f>SUMIFS('영수증 내역'!$I$6:$I$164,'영수증 내역'!$O$6:$O$164,"Y",'영수증 내역'!$F$6:$F$164,$A55,'영수증 내역'!$H$6:$H$164,$B55)</f>
        <v/>
      </c>
      <c r="E55" s="10">
        <f>SUMIFS('영수증 내역'!$J$6:$J$164,'영수증 내역'!$O$6:$O$164,"Y",'영수증 내역'!$F$6:$F$164,$A55,'영수증 내역'!$H$6:$H$164,$B55)</f>
        <v/>
      </c>
      <c r="F55" s="10">
        <f>SUMIFS('영수증 내역'!$K$6:$K$164,'영수증 내역'!$O$6:$O$164,"Y",'영수증 내역'!$F$6:$F$164,$A55,'영수증 내역'!$H$6:$H$164,$B55)</f>
        <v/>
      </c>
      <c r="G55" s="10">
        <f>SUMIFS('영수증 내역'!$L$6:$L$164,'영수증 내역'!$O$6:$O$164,"Y",'영수증 내역'!$F$6:$F$164,$A55,'영수증 내역'!$H$6:$H$164,$B55)</f>
        <v/>
      </c>
      <c r="H55" s="10">
        <f>SUMIFS('영수증 내역'!$M$6:$M$164,'영수증 내역'!$O$6:$O$164,"Y",'영수증 내역'!$F$6:$F$164,$A55,'영수증 내역'!$H$6:$H$164,$B55)</f>
        <v/>
      </c>
    </row>
    <row r="56">
      <c r="A56" s="9" t="inlineStr">
        <is>
          <t>Mr Puffs North York</t>
        </is>
      </c>
      <c r="B56" s="7" t="inlineStr">
        <is>
          <t>CAD</t>
        </is>
      </c>
      <c r="C56" s="9">
        <f>COUNTIFS('영수증 내역'!$O$6:$O$164,"Y",'영수증 내역'!$F$6:$F$164,$A56,'영수증 내역'!$H$6:$H$164,$B56)</f>
        <v/>
      </c>
      <c r="D56" s="10">
        <f>SUMIFS('영수증 내역'!$I$6:$I$164,'영수증 내역'!$O$6:$O$164,"Y",'영수증 내역'!$F$6:$F$164,$A56,'영수증 내역'!$H$6:$H$164,$B56)</f>
        <v/>
      </c>
      <c r="E56" s="10">
        <f>SUMIFS('영수증 내역'!$J$6:$J$164,'영수증 내역'!$O$6:$O$164,"Y",'영수증 내역'!$F$6:$F$164,$A56,'영수증 내역'!$H$6:$H$164,$B56)</f>
        <v/>
      </c>
      <c r="F56" s="10">
        <f>SUMIFS('영수증 내역'!$K$6:$K$164,'영수증 내역'!$O$6:$O$164,"Y",'영수증 내역'!$F$6:$F$164,$A56,'영수증 내역'!$H$6:$H$164,$B56)</f>
        <v/>
      </c>
      <c r="G56" s="10">
        <f>SUMIFS('영수증 내역'!$L$6:$L$164,'영수증 내역'!$O$6:$O$164,"Y",'영수증 내역'!$F$6:$F$164,$A56,'영수증 내역'!$H$6:$H$164,$B56)</f>
        <v/>
      </c>
      <c r="H56" s="10">
        <f>SUMIFS('영수증 내역'!$M$6:$M$164,'영수증 내역'!$O$6:$O$164,"Y",'영수증 내역'!$F$6:$F$164,$A56,'영수증 내역'!$H$6:$H$164,$B56)</f>
        <v/>
      </c>
    </row>
    <row r="57">
      <c r="A57" s="9" t="inlineStr">
        <is>
          <t>A&amp;W (Toronto Premium Outlets) - 추정</t>
        </is>
      </c>
      <c r="B57" s="7" t="inlineStr">
        <is>
          <t>CAD</t>
        </is>
      </c>
      <c r="C57" s="9">
        <f>COUNTIFS('영수증 내역'!$O$6:$O$164,"Y",'영수증 내역'!$F$6:$F$164,$A57,'영수증 내역'!$H$6:$H$164,$B57)</f>
        <v/>
      </c>
      <c r="D57" s="10">
        <f>SUMIFS('영수증 내역'!$I$6:$I$164,'영수증 내역'!$O$6:$O$164,"Y",'영수증 내역'!$F$6:$F$164,$A57,'영수증 내역'!$H$6:$H$164,$B57)</f>
        <v/>
      </c>
      <c r="E57" s="10">
        <f>SUMIFS('영수증 내역'!$J$6:$J$164,'영수증 내역'!$O$6:$O$164,"Y",'영수증 내역'!$F$6:$F$164,$A57,'영수증 내역'!$H$6:$H$164,$B57)</f>
        <v/>
      </c>
      <c r="F57" s="10">
        <f>SUMIFS('영수증 내역'!$K$6:$K$164,'영수증 내역'!$O$6:$O$164,"Y",'영수증 내역'!$F$6:$F$164,$A57,'영수증 내역'!$H$6:$H$164,$B57)</f>
        <v/>
      </c>
      <c r="G57" s="10">
        <f>SUMIFS('영수증 내역'!$L$6:$L$164,'영수증 내역'!$O$6:$O$164,"Y",'영수증 내역'!$F$6:$F$164,$A57,'영수증 내역'!$H$6:$H$164,$B57)</f>
        <v/>
      </c>
      <c r="H57" s="10">
        <f>SUMIFS('영수증 내역'!$M$6:$M$164,'영수증 내역'!$O$6:$O$164,"Y",'영수증 내역'!$F$6:$F$164,$A57,'영수증 내역'!$H$6:$H$164,$B57)</f>
        <v/>
      </c>
    </row>
    <row r="58">
      <c r="A58" s="9" t="inlineStr">
        <is>
          <t>Staples</t>
        </is>
      </c>
      <c r="B58" s="7" t="inlineStr">
        <is>
          <t>CAD</t>
        </is>
      </c>
      <c r="C58" s="9">
        <f>COUNTIFS('영수증 내역'!$O$6:$O$164,"Y",'영수증 내역'!$F$6:$F$164,$A58,'영수증 내역'!$H$6:$H$164,$B58)</f>
        <v/>
      </c>
      <c r="D58" s="10">
        <f>SUMIFS('영수증 내역'!$I$6:$I$164,'영수증 내역'!$O$6:$O$164,"Y",'영수증 내역'!$F$6:$F$164,$A58,'영수증 내역'!$H$6:$H$164,$B58)</f>
        <v/>
      </c>
      <c r="E58" s="10">
        <f>SUMIFS('영수증 내역'!$J$6:$J$164,'영수증 내역'!$O$6:$O$164,"Y",'영수증 내역'!$F$6:$F$164,$A58,'영수증 내역'!$H$6:$H$164,$B58)</f>
        <v/>
      </c>
      <c r="F58" s="10">
        <f>SUMIFS('영수증 내역'!$K$6:$K$164,'영수증 내역'!$O$6:$O$164,"Y",'영수증 내역'!$F$6:$F$164,$A58,'영수증 내역'!$H$6:$H$164,$B58)</f>
        <v/>
      </c>
      <c r="G58" s="10">
        <f>SUMIFS('영수증 내역'!$L$6:$L$164,'영수증 내역'!$O$6:$O$164,"Y",'영수증 내역'!$F$6:$F$164,$A58,'영수증 내역'!$H$6:$H$164,$B58)</f>
        <v/>
      </c>
      <c r="H58" s="10">
        <f>SUMIFS('영수증 내역'!$M$6:$M$164,'영수증 내역'!$O$6:$O$164,"Y",'영수증 내역'!$F$6:$F$164,$A58,'영수증 내역'!$H$6:$H$164,$B58)</f>
        <v/>
      </c>
    </row>
    <row r="59">
      <c r="A59" s="9" t="inlineStr">
        <is>
          <t>Dollarama</t>
        </is>
      </c>
      <c r="B59" s="7" t="inlineStr">
        <is>
          <t>CAD</t>
        </is>
      </c>
      <c r="C59" s="9">
        <f>COUNTIFS('영수증 내역'!$O$6:$O$164,"Y",'영수증 내역'!$F$6:$F$164,$A59,'영수증 내역'!$H$6:$H$164,$B59)</f>
        <v/>
      </c>
      <c r="D59" s="10">
        <f>SUMIFS('영수증 내역'!$I$6:$I$164,'영수증 내역'!$O$6:$O$164,"Y",'영수증 내역'!$F$6:$F$164,$A59,'영수증 내역'!$H$6:$H$164,$B59)</f>
        <v/>
      </c>
      <c r="E59" s="10">
        <f>SUMIFS('영수증 내역'!$J$6:$J$164,'영수증 내역'!$O$6:$O$164,"Y",'영수증 내역'!$F$6:$F$164,$A59,'영수증 내역'!$H$6:$H$164,$B59)</f>
        <v/>
      </c>
      <c r="F59" s="10">
        <f>SUMIFS('영수증 내역'!$K$6:$K$164,'영수증 내역'!$O$6:$O$164,"Y",'영수증 내역'!$F$6:$F$164,$A59,'영수증 내역'!$H$6:$H$164,$B59)</f>
        <v/>
      </c>
      <c r="G59" s="10">
        <f>SUMIFS('영수증 내역'!$L$6:$L$164,'영수증 내역'!$O$6:$O$164,"Y",'영수증 내역'!$F$6:$F$164,$A59,'영수증 내역'!$H$6:$H$164,$B59)</f>
        <v/>
      </c>
      <c r="H59" s="10">
        <f>SUMIFS('영수증 내역'!$M$6:$M$164,'영수증 내역'!$O$6:$O$164,"Y",'영수증 내역'!$F$6:$F$164,$A59,'영수증 내역'!$H$6:$H$164,$B59)</f>
        <v/>
      </c>
    </row>
    <row r="60">
      <c r="A60" s="9" t="inlineStr">
        <is>
          <t>Cafe Kray</t>
        </is>
      </c>
      <c r="B60" s="7" t="inlineStr">
        <is>
          <t>CAD</t>
        </is>
      </c>
      <c r="C60" s="9">
        <f>COUNTIFS('영수증 내역'!$O$6:$O$164,"Y",'영수증 내역'!$F$6:$F$164,$A60,'영수증 내역'!$H$6:$H$164,$B60)</f>
        <v/>
      </c>
      <c r="D60" s="10">
        <f>SUMIFS('영수증 내역'!$I$6:$I$164,'영수증 내역'!$O$6:$O$164,"Y",'영수증 내역'!$F$6:$F$164,$A60,'영수증 내역'!$H$6:$H$164,$B60)</f>
        <v/>
      </c>
      <c r="E60" s="10">
        <f>SUMIFS('영수증 내역'!$J$6:$J$164,'영수증 내역'!$O$6:$O$164,"Y",'영수증 내역'!$F$6:$F$164,$A60,'영수증 내역'!$H$6:$H$164,$B60)</f>
        <v/>
      </c>
      <c r="F60" s="10">
        <f>SUMIFS('영수증 내역'!$K$6:$K$164,'영수증 내역'!$O$6:$O$164,"Y",'영수증 내역'!$F$6:$F$164,$A60,'영수증 내역'!$H$6:$H$164,$B60)</f>
        <v/>
      </c>
      <c r="G60" s="10">
        <f>SUMIFS('영수증 내역'!$L$6:$L$164,'영수증 내역'!$O$6:$O$164,"Y",'영수증 내역'!$F$6:$F$164,$A60,'영수증 내역'!$H$6:$H$164,$B60)</f>
        <v/>
      </c>
      <c r="H60" s="10">
        <f>SUMIFS('영수증 내역'!$M$6:$M$164,'영수증 내역'!$O$6:$O$164,"Y",'영수증 내역'!$F$6:$F$164,$A60,'영수증 내역'!$H$6:$H$164,$B60)</f>
        <v/>
      </c>
    </row>
    <row r="61">
      <c r="A61" s="9" t="inlineStr">
        <is>
          <t>Bungopang Cafe (K-Town)</t>
        </is>
      </c>
      <c r="B61" s="7" t="inlineStr">
        <is>
          <t>CAD</t>
        </is>
      </c>
      <c r="C61" s="9">
        <f>COUNTIFS('영수증 내역'!$O$6:$O$164,"Y",'영수증 내역'!$F$6:$F$164,$A61,'영수증 내역'!$H$6:$H$164,$B61)</f>
        <v/>
      </c>
      <c r="D61" s="10">
        <f>SUMIFS('영수증 내역'!$I$6:$I$164,'영수증 내역'!$O$6:$O$164,"Y",'영수증 내역'!$F$6:$F$164,$A61,'영수증 내역'!$H$6:$H$164,$B61)</f>
        <v/>
      </c>
      <c r="E61" s="10">
        <f>SUMIFS('영수증 내역'!$J$6:$J$164,'영수증 내역'!$O$6:$O$164,"Y",'영수증 내역'!$F$6:$F$164,$A61,'영수증 내역'!$H$6:$H$164,$B61)</f>
        <v/>
      </c>
      <c r="F61" s="10">
        <f>SUMIFS('영수증 내역'!$K$6:$K$164,'영수증 내역'!$O$6:$O$164,"Y",'영수증 내역'!$F$6:$F$164,$A61,'영수증 내역'!$H$6:$H$164,$B61)</f>
        <v/>
      </c>
      <c r="G61" s="10">
        <f>SUMIFS('영수증 내역'!$L$6:$L$164,'영수증 내역'!$O$6:$O$164,"Y",'영수증 내역'!$F$6:$F$164,$A61,'영수증 내역'!$H$6:$H$164,$B61)</f>
        <v/>
      </c>
      <c r="H61" s="10">
        <f>SUMIFS('영수증 내역'!$M$6:$M$164,'영수증 내역'!$O$6:$O$164,"Y",'영수증 내역'!$F$6:$F$164,$A61,'영수증 내역'!$H$6:$H$164,$B61)</f>
        <v/>
      </c>
    </row>
    <row r="62">
      <c r="A62" s="9" t="inlineStr">
        <is>
          <t>Chipotle</t>
        </is>
      </c>
      <c r="B62" s="7" t="inlineStr">
        <is>
          <t>CAD</t>
        </is>
      </c>
      <c r="C62" s="9">
        <f>COUNTIFS('영수증 내역'!$O$6:$O$164,"Y",'영수증 내역'!$F$6:$F$164,$A62,'영수증 내역'!$H$6:$H$164,$B62)</f>
        <v/>
      </c>
      <c r="D62" s="10">
        <f>SUMIFS('영수증 내역'!$I$6:$I$164,'영수증 내역'!$O$6:$O$164,"Y",'영수증 내역'!$F$6:$F$164,$A62,'영수증 내역'!$H$6:$H$164,$B62)</f>
        <v/>
      </c>
      <c r="E62" s="10">
        <f>SUMIFS('영수증 내역'!$J$6:$J$164,'영수증 내역'!$O$6:$O$164,"Y",'영수증 내역'!$F$6:$F$164,$A62,'영수증 내역'!$H$6:$H$164,$B62)</f>
        <v/>
      </c>
      <c r="F62" s="10">
        <f>SUMIFS('영수증 내역'!$K$6:$K$164,'영수증 내역'!$O$6:$O$164,"Y",'영수증 내역'!$F$6:$F$164,$A62,'영수증 내역'!$H$6:$H$164,$B62)</f>
        <v/>
      </c>
      <c r="G62" s="10">
        <f>SUMIFS('영수증 내역'!$L$6:$L$164,'영수증 내역'!$O$6:$O$164,"Y",'영수증 내역'!$F$6:$F$164,$A62,'영수증 내역'!$H$6:$H$164,$B62)</f>
        <v/>
      </c>
      <c r="H62" s="10">
        <f>SUMIFS('영수증 내역'!$M$6:$M$164,'영수증 내역'!$O$6:$O$164,"Y",'영수증 내역'!$F$6:$F$164,$A62,'영수증 내역'!$H$6:$H$164,$B62)</f>
        <v/>
      </c>
    </row>
    <row r="63">
      <c r="A63" s="9" t="inlineStr">
        <is>
          <t>ENZI Ice Cream</t>
        </is>
      </c>
      <c r="B63" s="7" t="inlineStr">
        <is>
          <t>CAD</t>
        </is>
      </c>
      <c r="C63" s="9">
        <f>COUNTIFS('영수증 내역'!$O$6:$O$164,"Y",'영수증 내역'!$F$6:$F$164,$A63,'영수증 내역'!$H$6:$H$164,$B63)</f>
        <v/>
      </c>
      <c r="D63" s="10">
        <f>SUMIFS('영수증 내역'!$I$6:$I$164,'영수증 내역'!$O$6:$O$164,"Y",'영수증 내역'!$F$6:$F$164,$A63,'영수증 내역'!$H$6:$H$164,$B63)</f>
        <v/>
      </c>
      <c r="E63" s="10">
        <f>SUMIFS('영수증 내역'!$J$6:$J$164,'영수증 내역'!$O$6:$O$164,"Y",'영수증 내역'!$F$6:$F$164,$A63,'영수증 내역'!$H$6:$H$164,$B63)</f>
        <v/>
      </c>
      <c r="F63" s="10">
        <f>SUMIFS('영수증 내역'!$K$6:$K$164,'영수증 내역'!$O$6:$O$164,"Y",'영수증 내역'!$F$6:$F$164,$A63,'영수증 내역'!$H$6:$H$164,$B63)</f>
        <v/>
      </c>
      <c r="G63" s="10">
        <f>SUMIFS('영수증 내역'!$L$6:$L$164,'영수증 내역'!$O$6:$O$164,"Y",'영수증 내역'!$F$6:$F$164,$A63,'영수증 내역'!$H$6:$H$164,$B63)</f>
        <v/>
      </c>
      <c r="H63" s="10">
        <f>SUMIFS('영수증 내역'!$M$6:$M$164,'영수증 내역'!$O$6:$O$164,"Y",'영수증 내역'!$F$6:$F$164,$A63,'영수증 내역'!$H$6:$H$164,$B63)</f>
        <v/>
      </c>
    </row>
    <row r="64">
      <c r="A64" s="9" t="inlineStr">
        <is>
          <t>Hanmipost (한미우체국택배)</t>
        </is>
      </c>
      <c r="B64" s="7" t="inlineStr">
        <is>
          <t>CAD</t>
        </is>
      </c>
      <c r="C64" s="9">
        <f>COUNTIFS('영수증 내역'!$O$6:$O$164,"Y",'영수증 내역'!$F$6:$F$164,$A64,'영수증 내역'!$H$6:$H$164,$B64)</f>
        <v/>
      </c>
      <c r="D64" s="10">
        <f>SUMIFS('영수증 내역'!$I$6:$I$164,'영수증 내역'!$O$6:$O$164,"Y",'영수증 내역'!$F$6:$F$164,$A64,'영수증 내역'!$H$6:$H$164,$B64)</f>
        <v/>
      </c>
      <c r="E64" s="10">
        <f>SUMIFS('영수증 내역'!$J$6:$J$164,'영수증 내역'!$O$6:$O$164,"Y",'영수증 내역'!$F$6:$F$164,$A64,'영수증 내역'!$H$6:$H$164,$B64)</f>
        <v/>
      </c>
      <c r="F64" s="10">
        <f>SUMIFS('영수증 내역'!$K$6:$K$164,'영수증 내역'!$O$6:$O$164,"Y",'영수증 내역'!$F$6:$F$164,$A64,'영수증 내역'!$H$6:$H$164,$B64)</f>
        <v/>
      </c>
      <c r="G64" s="10">
        <f>SUMIFS('영수증 내역'!$L$6:$L$164,'영수증 내역'!$O$6:$O$164,"Y",'영수증 내역'!$F$6:$F$164,$A64,'영수증 내역'!$H$6:$H$164,$B64)</f>
        <v/>
      </c>
      <c r="H64" s="10">
        <f>SUMIFS('영수증 내역'!$M$6:$M$164,'영수증 내역'!$O$6:$O$164,"Y",'영수증 내역'!$F$6:$F$164,$A64,'영수증 내역'!$H$6:$H$164,$B64)</f>
        <v/>
      </c>
    </row>
    <row r="65">
      <c r="A65" s="9" t="inlineStr">
        <is>
          <t>Le Labo Toronto Hazelton</t>
        </is>
      </c>
      <c r="B65" s="7" t="inlineStr">
        <is>
          <t>CAD</t>
        </is>
      </c>
      <c r="C65" s="9">
        <f>COUNTIFS('영수증 내역'!$O$6:$O$164,"Y",'영수증 내역'!$F$6:$F$164,$A65,'영수증 내역'!$H$6:$H$164,$B65)</f>
        <v/>
      </c>
      <c r="D65" s="10">
        <f>SUMIFS('영수증 내역'!$I$6:$I$164,'영수증 내역'!$O$6:$O$164,"Y",'영수증 내역'!$F$6:$F$164,$A65,'영수증 내역'!$H$6:$H$164,$B65)</f>
        <v/>
      </c>
      <c r="E65" s="10">
        <f>SUMIFS('영수증 내역'!$J$6:$J$164,'영수증 내역'!$O$6:$O$164,"Y",'영수증 내역'!$F$6:$F$164,$A65,'영수증 내역'!$H$6:$H$164,$B65)</f>
        <v/>
      </c>
      <c r="F65" s="10">
        <f>SUMIFS('영수증 내역'!$K$6:$K$164,'영수증 내역'!$O$6:$O$164,"Y",'영수증 내역'!$F$6:$F$164,$A65,'영수증 내역'!$H$6:$H$164,$B65)</f>
        <v/>
      </c>
      <c r="G65" s="10">
        <f>SUMIFS('영수증 내역'!$L$6:$L$164,'영수증 내역'!$O$6:$O$164,"Y",'영수증 내역'!$F$6:$F$164,$A65,'영수증 내역'!$H$6:$H$164,$B65)</f>
        <v/>
      </c>
      <c r="H65" s="10">
        <f>SUMIFS('영수증 내역'!$M$6:$M$164,'영수증 내역'!$O$6:$O$164,"Y",'영수증 내역'!$F$6:$F$164,$A65,'영수증 내역'!$H$6:$H$164,$B65)</f>
        <v/>
      </c>
    </row>
    <row r="66">
      <c r="A66" s="9" t="inlineStr">
        <is>
          <t>Cafe Hey, Dalda</t>
        </is>
      </c>
      <c r="B66" s="7" t="inlineStr">
        <is>
          <t>CAD</t>
        </is>
      </c>
      <c r="C66" s="9">
        <f>COUNTIFS('영수증 내역'!$O$6:$O$164,"Y",'영수증 내역'!$F$6:$F$164,$A66,'영수증 내역'!$H$6:$H$164,$B66)</f>
        <v/>
      </c>
      <c r="D66" s="10">
        <f>SUMIFS('영수증 내역'!$I$6:$I$164,'영수증 내역'!$O$6:$O$164,"Y",'영수증 내역'!$F$6:$F$164,$A66,'영수증 내역'!$H$6:$H$164,$B66)</f>
        <v/>
      </c>
      <c r="E66" s="10">
        <f>SUMIFS('영수증 내역'!$J$6:$J$164,'영수증 내역'!$O$6:$O$164,"Y",'영수증 내역'!$F$6:$F$164,$A66,'영수증 내역'!$H$6:$H$164,$B66)</f>
        <v/>
      </c>
      <c r="F66" s="10">
        <f>SUMIFS('영수증 내역'!$K$6:$K$164,'영수증 내역'!$O$6:$O$164,"Y",'영수증 내역'!$F$6:$F$164,$A66,'영수증 내역'!$H$6:$H$164,$B66)</f>
        <v/>
      </c>
      <c r="G66" s="10">
        <f>SUMIFS('영수증 내역'!$L$6:$L$164,'영수증 내역'!$O$6:$O$164,"Y",'영수증 내역'!$F$6:$F$164,$A66,'영수증 내역'!$H$6:$H$164,$B66)</f>
        <v/>
      </c>
      <c r="H66" s="10">
        <f>SUMIFS('영수증 내역'!$M$6:$M$164,'영수증 내역'!$O$6:$O$164,"Y",'영수증 내역'!$F$6:$F$164,$A66,'영수증 내역'!$H$6:$H$164,$B66)</f>
        <v/>
      </c>
    </row>
    <row r="67">
      <c r="A67" s="9" t="inlineStr">
        <is>
          <t>Imperial Parking</t>
        </is>
      </c>
      <c r="B67" s="7" t="inlineStr">
        <is>
          <t>CAD</t>
        </is>
      </c>
      <c r="C67" s="9">
        <f>COUNTIFS('영수증 내역'!$O$6:$O$164,"Y",'영수증 내역'!$F$6:$F$164,$A67,'영수증 내역'!$H$6:$H$164,$B67)</f>
        <v/>
      </c>
      <c r="D67" s="10">
        <f>SUMIFS('영수증 내역'!$I$6:$I$164,'영수증 내역'!$O$6:$O$164,"Y",'영수증 내역'!$F$6:$F$164,$A67,'영수증 내역'!$H$6:$H$164,$B67)</f>
        <v/>
      </c>
      <c r="E67" s="10">
        <f>SUMIFS('영수증 내역'!$J$6:$J$164,'영수증 내역'!$O$6:$O$164,"Y",'영수증 내역'!$F$6:$F$164,$A67,'영수증 내역'!$H$6:$H$164,$B67)</f>
        <v/>
      </c>
      <c r="F67" s="10">
        <f>SUMIFS('영수증 내역'!$K$6:$K$164,'영수증 내역'!$O$6:$O$164,"Y",'영수증 내역'!$F$6:$F$164,$A67,'영수증 내역'!$H$6:$H$164,$B67)</f>
        <v/>
      </c>
      <c r="G67" s="10">
        <f>SUMIFS('영수증 내역'!$L$6:$L$164,'영수증 내역'!$O$6:$O$164,"Y",'영수증 내역'!$F$6:$F$164,$A67,'영수증 내역'!$H$6:$H$164,$B67)</f>
        <v/>
      </c>
      <c r="H67" s="10">
        <f>SUMIFS('영수증 내역'!$M$6:$M$164,'영수증 내역'!$O$6:$O$164,"Y",'영수증 내역'!$F$6:$F$164,$A67,'영수증 내역'!$H$6:$H$164,$B67)</f>
        <v/>
      </c>
    </row>
    <row r="68">
      <c r="A68" s="9" t="inlineStr">
        <is>
          <t>Machi Machi (Eaton Centre)</t>
        </is>
      </c>
      <c r="B68" s="7" t="inlineStr">
        <is>
          <t>CAD</t>
        </is>
      </c>
      <c r="C68" s="9">
        <f>COUNTIFS('영수증 내역'!$O$6:$O$164,"Y",'영수증 내역'!$F$6:$F$164,$A68,'영수증 내역'!$H$6:$H$164,$B68)</f>
        <v/>
      </c>
      <c r="D68" s="10">
        <f>SUMIFS('영수증 내역'!$I$6:$I$164,'영수증 내역'!$O$6:$O$164,"Y",'영수증 내역'!$F$6:$F$164,$A68,'영수증 내역'!$H$6:$H$164,$B68)</f>
        <v/>
      </c>
      <c r="E68" s="10">
        <f>SUMIFS('영수증 내역'!$J$6:$J$164,'영수증 내역'!$O$6:$O$164,"Y",'영수증 내역'!$F$6:$F$164,$A68,'영수증 내역'!$H$6:$H$164,$B68)</f>
        <v/>
      </c>
      <c r="F68" s="10">
        <f>SUMIFS('영수증 내역'!$K$6:$K$164,'영수증 내역'!$O$6:$O$164,"Y",'영수증 내역'!$F$6:$F$164,$A68,'영수증 내역'!$H$6:$H$164,$B68)</f>
        <v/>
      </c>
      <c r="G68" s="10">
        <f>SUMIFS('영수증 내역'!$L$6:$L$164,'영수증 내역'!$O$6:$O$164,"Y",'영수증 내역'!$F$6:$F$164,$A68,'영수증 내역'!$H$6:$H$164,$B68)</f>
        <v/>
      </c>
      <c r="H68" s="10">
        <f>SUMIFS('영수증 내역'!$M$6:$M$164,'영수증 내역'!$O$6:$O$164,"Y",'영수증 내역'!$F$6:$F$164,$A68,'영수증 내역'!$H$6:$H$164,$B68)</f>
        <v/>
      </c>
    </row>
    <row r="69">
      <c r="A69" s="9" t="inlineStr">
        <is>
          <t>Chick-fil-A</t>
        </is>
      </c>
      <c r="B69" s="7" t="inlineStr">
        <is>
          <t>CAD</t>
        </is>
      </c>
      <c r="C69" s="9">
        <f>COUNTIFS('영수증 내역'!$O$6:$O$164,"Y",'영수증 내역'!$F$6:$F$164,$A69,'영수증 내역'!$H$6:$H$164,$B69)</f>
        <v/>
      </c>
      <c r="D69" s="10">
        <f>SUMIFS('영수증 내역'!$I$6:$I$164,'영수증 내역'!$O$6:$O$164,"Y",'영수증 내역'!$F$6:$F$164,$A69,'영수증 내역'!$H$6:$H$164,$B69)</f>
        <v/>
      </c>
      <c r="E69" s="10">
        <f>SUMIFS('영수증 내역'!$J$6:$J$164,'영수증 내역'!$O$6:$O$164,"Y",'영수증 내역'!$F$6:$F$164,$A69,'영수증 내역'!$H$6:$H$164,$B69)</f>
        <v/>
      </c>
      <c r="F69" s="10">
        <f>SUMIFS('영수증 내역'!$K$6:$K$164,'영수증 내역'!$O$6:$O$164,"Y",'영수증 내역'!$F$6:$F$164,$A69,'영수증 내역'!$H$6:$H$164,$B69)</f>
        <v/>
      </c>
      <c r="G69" s="10">
        <f>SUMIFS('영수증 내역'!$L$6:$L$164,'영수증 내역'!$O$6:$O$164,"Y",'영수증 내역'!$F$6:$F$164,$A69,'영수증 내역'!$H$6:$H$164,$B69)</f>
        <v/>
      </c>
      <c r="H69" s="10">
        <f>SUMIFS('영수증 내역'!$M$6:$M$164,'영수증 내역'!$O$6:$O$164,"Y",'영수증 내역'!$F$6:$F$164,$A69,'영수증 내역'!$H$6:$H$164,$B69)</f>
        <v/>
      </c>
    </row>
    <row r="70">
      <c r="A70" s="9" t="inlineStr">
        <is>
          <t>Westway Kitchen Food Fair</t>
        </is>
      </c>
      <c r="B70" s="7" t="inlineStr">
        <is>
          <t>CAD</t>
        </is>
      </c>
      <c r="C70" s="9">
        <f>COUNTIFS('영수증 내역'!$O$6:$O$164,"Y",'영수증 내역'!$F$6:$F$164,$A70,'영수증 내역'!$H$6:$H$164,$B70)</f>
        <v/>
      </c>
      <c r="D70" s="10">
        <f>SUMIFS('영수증 내역'!$I$6:$I$164,'영수증 내역'!$O$6:$O$164,"Y",'영수증 내역'!$F$6:$F$164,$A70,'영수증 내역'!$H$6:$H$164,$B70)</f>
        <v/>
      </c>
      <c r="E70" s="10">
        <f>SUMIFS('영수증 내역'!$J$6:$J$164,'영수증 내역'!$O$6:$O$164,"Y",'영수증 내역'!$F$6:$F$164,$A70,'영수증 내역'!$H$6:$H$164,$B70)</f>
        <v/>
      </c>
      <c r="F70" s="10">
        <f>SUMIFS('영수증 내역'!$K$6:$K$164,'영수증 내역'!$O$6:$O$164,"Y",'영수증 내역'!$F$6:$F$164,$A70,'영수증 내역'!$H$6:$H$164,$B70)</f>
        <v/>
      </c>
      <c r="G70" s="10">
        <f>SUMIFS('영수증 내역'!$L$6:$L$164,'영수증 내역'!$O$6:$O$164,"Y",'영수증 내역'!$F$6:$F$164,$A70,'영수증 내역'!$H$6:$H$164,$B70)</f>
        <v/>
      </c>
      <c r="H70" s="10">
        <f>SUMIFS('영수증 내역'!$M$6:$M$164,'영수증 내역'!$O$6:$O$164,"Y",'영수증 내역'!$F$6:$F$164,$A70,'영수증 내역'!$H$6:$H$164,$B70)</f>
        <v/>
      </c>
    </row>
    <row r="71">
      <c r="A71" s="9" t="inlineStr">
        <is>
          <t>Parksmart (주차, Mobile Permit)</t>
        </is>
      </c>
      <c r="B71" s="7" t="inlineStr">
        <is>
          <t>CAD</t>
        </is>
      </c>
      <c r="C71" s="9">
        <f>COUNTIFS('영수증 내역'!$O$6:$O$164,"Y",'영수증 내역'!$F$6:$F$164,$A71,'영수증 내역'!$H$6:$H$164,$B71)</f>
        <v/>
      </c>
      <c r="D71" s="10">
        <f>SUMIFS('영수증 내역'!$I$6:$I$164,'영수증 내역'!$O$6:$O$164,"Y",'영수증 내역'!$F$6:$F$164,$A71,'영수증 내역'!$H$6:$H$164,$B71)</f>
        <v/>
      </c>
      <c r="E71" s="10">
        <f>SUMIFS('영수증 내역'!$J$6:$J$164,'영수증 내역'!$O$6:$O$164,"Y",'영수증 내역'!$F$6:$F$164,$A71,'영수증 내역'!$H$6:$H$164,$B71)</f>
        <v/>
      </c>
      <c r="F71" s="10">
        <f>SUMIFS('영수증 내역'!$K$6:$K$164,'영수증 내역'!$O$6:$O$164,"Y",'영수증 내역'!$F$6:$F$164,$A71,'영수증 내역'!$H$6:$H$164,$B71)</f>
        <v/>
      </c>
      <c r="G71" s="10">
        <f>SUMIFS('영수증 내역'!$L$6:$L$164,'영수증 내역'!$O$6:$O$164,"Y",'영수증 내역'!$F$6:$F$164,$A71,'영수증 내역'!$H$6:$H$164,$B71)</f>
        <v/>
      </c>
      <c r="H71" s="10">
        <f>SUMIFS('영수증 내역'!$M$6:$M$164,'영수증 내역'!$O$6:$O$164,"Y",'영수증 내역'!$F$6:$F$164,$A71,'영수증 내역'!$H$6:$H$164,$B71)</f>
        <v/>
      </c>
    </row>
    <row r="72">
      <c r="A72" s="9" t="inlineStr">
        <is>
          <t>Copyright Copy Centre</t>
        </is>
      </c>
      <c r="B72" s="7" t="inlineStr">
        <is>
          <t>CAD</t>
        </is>
      </c>
      <c r="C72" s="9">
        <f>COUNTIFS('영수증 내역'!$O$6:$O$164,"Y",'영수증 내역'!$F$6:$F$164,$A72,'영수증 내역'!$H$6:$H$164,$B72)</f>
        <v/>
      </c>
      <c r="D72" s="10">
        <f>SUMIFS('영수증 내역'!$I$6:$I$164,'영수증 내역'!$O$6:$O$164,"Y",'영수증 내역'!$F$6:$F$164,$A72,'영수증 내역'!$H$6:$H$164,$B72)</f>
        <v/>
      </c>
      <c r="E72" s="10">
        <f>SUMIFS('영수증 내역'!$J$6:$J$164,'영수증 내역'!$O$6:$O$164,"Y",'영수증 내역'!$F$6:$F$164,$A72,'영수증 내역'!$H$6:$H$164,$B72)</f>
        <v/>
      </c>
      <c r="F72" s="10">
        <f>SUMIFS('영수증 내역'!$K$6:$K$164,'영수증 내역'!$O$6:$O$164,"Y",'영수증 내역'!$F$6:$F$164,$A72,'영수증 내역'!$H$6:$H$164,$B72)</f>
        <v/>
      </c>
      <c r="G72" s="10">
        <f>SUMIFS('영수증 내역'!$L$6:$L$164,'영수증 내역'!$O$6:$O$164,"Y",'영수증 내역'!$F$6:$F$164,$A72,'영수증 내역'!$H$6:$H$164,$B72)</f>
        <v/>
      </c>
      <c r="H72" s="10">
        <f>SUMIFS('영수증 내역'!$M$6:$M$164,'영수증 내역'!$O$6:$O$164,"Y",'영수증 내역'!$F$6:$F$164,$A72,'영수증 내역'!$H$6:$H$164,$B72)</f>
        <v/>
      </c>
    </row>
    <row r="73">
      <c r="A73" s="9" t="inlineStr">
        <is>
          <t>Walmart (#1115)</t>
        </is>
      </c>
      <c r="B73" s="7" t="inlineStr">
        <is>
          <t>CAD</t>
        </is>
      </c>
      <c r="C73" s="9">
        <f>COUNTIFS('영수증 내역'!$O$6:$O$164,"Y",'영수증 내역'!$F$6:$F$164,$A73,'영수증 내역'!$H$6:$H$164,$B73)</f>
        <v/>
      </c>
      <c r="D73" s="10">
        <f>SUMIFS('영수증 내역'!$I$6:$I$164,'영수증 내역'!$O$6:$O$164,"Y",'영수증 내역'!$F$6:$F$164,$A73,'영수증 내역'!$H$6:$H$164,$B73)</f>
        <v/>
      </c>
      <c r="E73" s="10">
        <f>SUMIFS('영수증 내역'!$J$6:$J$164,'영수증 내역'!$O$6:$O$164,"Y",'영수증 내역'!$F$6:$F$164,$A73,'영수증 내역'!$H$6:$H$164,$B73)</f>
        <v/>
      </c>
      <c r="F73" s="10">
        <f>SUMIFS('영수증 내역'!$K$6:$K$164,'영수증 내역'!$O$6:$O$164,"Y",'영수증 내역'!$F$6:$F$164,$A73,'영수증 내역'!$H$6:$H$164,$B73)</f>
        <v/>
      </c>
      <c r="G73" s="10">
        <f>SUMIFS('영수증 내역'!$L$6:$L$164,'영수증 내역'!$O$6:$O$164,"Y",'영수증 내역'!$F$6:$F$164,$A73,'영수증 내역'!$H$6:$H$164,$B73)</f>
        <v/>
      </c>
      <c r="H73" s="10">
        <f>SUMIFS('영수증 내역'!$M$6:$M$164,'영수증 내역'!$O$6:$O$164,"Y",'영수증 내역'!$F$6:$F$164,$A73,'영수증 내역'!$H$6:$H$164,$B73)</f>
        <v/>
      </c>
    </row>
    <row r="74">
      <c r="A74" s="9" t="inlineStr">
        <is>
          <t>P.A.T Spring Garden Market</t>
        </is>
      </c>
      <c r="B74" s="7" t="inlineStr">
        <is>
          <t>CAD</t>
        </is>
      </c>
      <c r="C74" s="9">
        <f>COUNTIFS('영수증 내역'!$O$6:$O$164,"Y",'영수증 내역'!$F$6:$F$164,$A74,'영수증 내역'!$H$6:$H$164,$B74)</f>
        <v/>
      </c>
      <c r="D74" s="10">
        <f>SUMIFS('영수증 내역'!$I$6:$I$164,'영수증 내역'!$O$6:$O$164,"Y",'영수증 내역'!$F$6:$F$164,$A74,'영수증 내역'!$H$6:$H$164,$B74)</f>
        <v/>
      </c>
      <c r="E74" s="10">
        <f>SUMIFS('영수증 내역'!$J$6:$J$164,'영수증 내역'!$O$6:$O$164,"Y",'영수증 내역'!$F$6:$F$164,$A74,'영수증 내역'!$H$6:$H$164,$B74)</f>
        <v/>
      </c>
      <c r="F74" s="10">
        <f>SUMIFS('영수증 내역'!$K$6:$K$164,'영수증 내역'!$O$6:$O$164,"Y",'영수증 내역'!$F$6:$F$164,$A74,'영수증 내역'!$H$6:$H$164,$B74)</f>
        <v/>
      </c>
      <c r="G74" s="10">
        <f>SUMIFS('영수증 내역'!$L$6:$L$164,'영수증 내역'!$O$6:$O$164,"Y",'영수증 내역'!$F$6:$F$164,$A74,'영수증 내역'!$H$6:$H$164,$B74)</f>
        <v/>
      </c>
      <c r="H74" s="10">
        <f>SUMIFS('영수증 내역'!$M$6:$M$164,'영수증 내역'!$O$6:$O$164,"Y",'영수증 내역'!$F$6:$F$164,$A74,'영수증 내역'!$H$6:$H$164,$B74)</f>
        <v/>
      </c>
    </row>
    <row r="75">
      <c r="A75" s="9" t="inlineStr">
        <is>
          <t>주차 (Alpha Control, 미터 742809)</t>
        </is>
      </c>
      <c r="B75" s="7" t="inlineStr">
        <is>
          <t>CAD</t>
        </is>
      </c>
      <c r="C75" s="9">
        <f>COUNTIFS('영수증 내역'!$O$6:$O$164,"Y",'영수증 내역'!$F$6:$F$164,$A75,'영수증 내역'!$H$6:$H$164,$B75)</f>
        <v/>
      </c>
      <c r="D75" s="10">
        <f>SUMIFS('영수증 내역'!$I$6:$I$164,'영수증 내역'!$O$6:$O$164,"Y",'영수증 내역'!$F$6:$F$164,$A75,'영수증 내역'!$H$6:$H$164,$B75)</f>
        <v/>
      </c>
      <c r="E75" s="10">
        <f>SUMIFS('영수증 내역'!$J$6:$J$164,'영수증 내역'!$O$6:$O$164,"Y",'영수증 내역'!$F$6:$F$164,$A75,'영수증 내역'!$H$6:$H$164,$B75)</f>
        <v/>
      </c>
      <c r="F75" s="10">
        <f>SUMIFS('영수증 내역'!$K$6:$K$164,'영수증 내역'!$O$6:$O$164,"Y",'영수증 내역'!$F$6:$F$164,$A75,'영수증 내역'!$H$6:$H$164,$B75)</f>
        <v/>
      </c>
      <c r="G75" s="10">
        <f>SUMIFS('영수증 내역'!$L$6:$L$164,'영수증 내역'!$O$6:$O$164,"Y",'영수증 내역'!$F$6:$F$164,$A75,'영수증 내역'!$H$6:$H$164,$B75)</f>
        <v/>
      </c>
      <c r="H75" s="10">
        <f>SUMIFS('영수증 내역'!$M$6:$M$164,'영수증 내역'!$O$6:$O$164,"Y",'영수증 내역'!$F$6:$F$164,$A75,'영수증 내역'!$H$6:$H$164,$B75)</f>
        <v/>
      </c>
    </row>
    <row r="76">
      <c r="A76" s="9" t="inlineStr">
        <is>
          <t>Hollister</t>
        </is>
      </c>
      <c r="B76" s="7" t="inlineStr">
        <is>
          <t>CAD</t>
        </is>
      </c>
      <c r="C76" s="9">
        <f>COUNTIFS('영수증 내역'!$O$6:$O$164,"Y",'영수증 내역'!$F$6:$F$164,$A76,'영수증 내역'!$H$6:$H$164,$B76)</f>
        <v/>
      </c>
      <c r="D76" s="10">
        <f>SUMIFS('영수증 내역'!$I$6:$I$164,'영수증 내역'!$O$6:$O$164,"Y",'영수증 내역'!$F$6:$F$164,$A76,'영수증 내역'!$H$6:$H$164,$B76)</f>
        <v/>
      </c>
      <c r="E76" s="10">
        <f>SUMIFS('영수증 내역'!$J$6:$J$164,'영수증 내역'!$O$6:$O$164,"Y",'영수증 내역'!$F$6:$F$164,$A76,'영수증 내역'!$H$6:$H$164,$B76)</f>
        <v/>
      </c>
      <c r="F76" s="10">
        <f>SUMIFS('영수증 내역'!$K$6:$K$164,'영수증 내역'!$O$6:$O$164,"Y",'영수증 내역'!$F$6:$F$164,$A76,'영수증 내역'!$H$6:$H$164,$B76)</f>
        <v/>
      </c>
      <c r="G76" s="10">
        <f>SUMIFS('영수증 내역'!$L$6:$L$164,'영수증 내역'!$O$6:$O$164,"Y",'영수증 내역'!$F$6:$F$164,$A76,'영수증 내역'!$H$6:$H$164,$B76)</f>
        <v/>
      </c>
      <c r="H76" s="10">
        <f>SUMIFS('영수증 내역'!$M$6:$M$164,'영수증 내역'!$O$6:$O$164,"Y",'영수증 내역'!$F$6:$F$164,$A76,'영수증 내역'!$H$6:$H$164,$B76)</f>
        <v/>
      </c>
    </row>
    <row r="77">
      <c r="A77" s="9" t="inlineStr">
        <is>
          <t>Sport Chek</t>
        </is>
      </c>
      <c r="B77" s="7" t="inlineStr">
        <is>
          <t>CAD</t>
        </is>
      </c>
      <c r="C77" s="9">
        <f>COUNTIFS('영수증 내역'!$O$6:$O$164,"Y",'영수증 내역'!$F$6:$F$164,$A77,'영수증 내역'!$H$6:$H$164,$B77)</f>
        <v/>
      </c>
      <c r="D77" s="10">
        <f>SUMIFS('영수증 내역'!$I$6:$I$164,'영수증 내역'!$O$6:$O$164,"Y",'영수증 내역'!$F$6:$F$164,$A77,'영수증 내역'!$H$6:$H$164,$B77)</f>
        <v/>
      </c>
      <c r="E77" s="10">
        <f>SUMIFS('영수증 내역'!$J$6:$J$164,'영수증 내역'!$O$6:$O$164,"Y",'영수증 내역'!$F$6:$F$164,$A77,'영수증 내역'!$H$6:$H$164,$B77)</f>
        <v/>
      </c>
      <c r="F77" s="10">
        <f>SUMIFS('영수증 내역'!$K$6:$K$164,'영수증 내역'!$O$6:$O$164,"Y",'영수증 내역'!$F$6:$F$164,$A77,'영수증 내역'!$H$6:$H$164,$B77)</f>
        <v/>
      </c>
      <c r="G77" s="10">
        <f>SUMIFS('영수증 내역'!$L$6:$L$164,'영수증 내역'!$O$6:$O$164,"Y",'영수증 내역'!$F$6:$F$164,$A77,'영수증 내역'!$H$6:$H$164,$B77)</f>
        <v/>
      </c>
      <c r="H77" s="10">
        <f>SUMIFS('영수증 내역'!$M$6:$M$164,'영수증 내역'!$O$6:$O$164,"Y",'영수증 내역'!$F$6:$F$164,$A77,'영수증 내역'!$H$6:$H$164,$B77)</f>
        <v/>
      </c>
    </row>
    <row r="78">
      <c r="A78" s="9" t="inlineStr">
        <is>
          <t>Tous les Jours (Elmhurst, 미국)</t>
        </is>
      </c>
      <c r="B78" s="7" t="inlineStr">
        <is>
          <t>USD</t>
        </is>
      </c>
      <c r="C78" s="9">
        <f>COUNTIFS('영수증 내역'!$O$6:$O$164,"Y",'영수증 내역'!$F$6:$F$164,$A78,'영수증 내역'!$H$6:$H$164,$B78)</f>
        <v/>
      </c>
      <c r="D78" s="10">
        <f>SUMIFS('영수증 내역'!$I$6:$I$164,'영수증 내역'!$O$6:$O$164,"Y",'영수증 내역'!$F$6:$F$164,$A78,'영수증 내역'!$H$6:$H$164,$B78)</f>
        <v/>
      </c>
      <c r="E78" s="10">
        <f>SUMIFS('영수증 내역'!$J$6:$J$164,'영수증 내역'!$O$6:$O$164,"Y",'영수증 내역'!$F$6:$F$164,$A78,'영수증 내역'!$H$6:$H$164,$B78)</f>
        <v/>
      </c>
      <c r="F78" s="10">
        <f>SUMIFS('영수증 내역'!$K$6:$K$164,'영수증 내역'!$O$6:$O$164,"Y",'영수증 내역'!$F$6:$F$164,$A78,'영수증 내역'!$H$6:$H$164,$B78)</f>
        <v/>
      </c>
      <c r="G78" s="10">
        <f>SUMIFS('영수증 내역'!$L$6:$L$164,'영수증 내역'!$O$6:$O$164,"Y",'영수증 내역'!$F$6:$F$164,$A78,'영수증 내역'!$H$6:$H$164,$B78)</f>
        <v/>
      </c>
      <c r="H78" s="10">
        <f>SUMIFS('영수증 내역'!$M$6:$M$164,'영수증 내역'!$O$6:$O$164,"Y",'영수증 내역'!$F$6:$F$164,$A78,'영수증 내역'!$H$6:$H$164,$B78)</f>
        <v/>
      </c>
    </row>
    <row r="79">
      <c r="A79" s="9" t="inlineStr">
        <is>
          <t>Dunkin' (LaGuardia 공항, 미국)</t>
        </is>
      </c>
      <c r="B79" s="7" t="inlineStr">
        <is>
          <t>USD</t>
        </is>
      </c>
      <c r="C79" s="9">
        <f>COUNTIFS('영수증 내역'!$O$6:$O$164,"Y",'영수증 내역'!$F$6:$F$164,$A79,'영수증 내역'!$H$6:$H$164,$B79)</f>
        <v/>
      </c>
      <c r="D79" s="10">
        <f>SUMIFS('영수증 내역'!$I$6:$I$164,'영수증 내역'!$O$6:$O$164,"Y",'영수증 내역'!$F$6:$F$164,$A79,'영수증 내역'!$H$6:$H$164,$B79)</f>
        <v/>
      </c>
      <c r="E79" s="10">
        <f>SUMIFS('영수증 내역'!$J$6:$J$164,'영수증 내역'!$O$6:$O$164,"Y",'영수증 내역'!$F$6:$F$164,$A79,'영수증 내역'!$H$6:$H$164,$B79)</f>
        <v/>
      </c>
      <c r="F79" s="10">
        <f>SUMIFS('영수증 내역'!$K$6:$K$164,'영수증 내역'!$O$6:$O$164,"Y",'영수증 내역'!$F$6:$F$164,$A79,'영수증 내역'!$H$6:$H$164,$B79)</f>
        <v/>
      </c>
      <c r="G79" s="10">
        <f>SUMIFS('영수증 내역'!$L$6:$L$164,'영수증 내역'!$O$6:$O$164,"Y",'영수증 내역'!$F$6:$F$164,$A79,'영수증 내역'!$H$6:$H$164,$B79)</f>
        <v/>
      </c>
      <c r="H79" s="10">
        <f>SUMIFS('영수증 내역'!$M$6:$M$164,'영수증 내역'!$O$6:$O$164,"Y",'영수증 내역'!$F$6:$F$164,$A79,'영수증 내역'!$H$6:$H$164,$B79)</f>
        <v/>
      </c>
    </row>
    <row r="80">
      <c r="A80" s="17" t="inlineStr">
        <is>
          <t>합계 (CAD)</t>
        </is>
      </c>
      <c r="B80" s="18" t="n"/>
      <c r="C80" s="17">
        <f>SUMIFS(C4:C79,B4:B79,"CAD")</f>
        <v/>
      </c>
      <c r="D80" s="4">
        <f>SUMIFS(D4:D79,$B$4:$B$79,"CAD")</f>
        <v/>
      </c>
      <c r="E80" s="4">
        <f>SUMIFS(E4:E79,$B$4:$B$79,"CAD")</f>
        <v/>
      </c>
      <c r="F80" s="4">
        <f>SUMIFS(F4:F79,$B$4:$B$79,"CAD")</f>
        <v/>
      </c>
      <c r="G80" s="4">
        <f>SUMIFS(G4:G79,$B$4:$B$79,"CAD")</f>
        <v/>
      </c>
      <c r="H80" s="4">
        <f>SUMIFS(H4:H79,$B$4:$B$79,"CAD")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5" t="inlineStr">
        <is>
          <t>안내</t>
        </is>
      </c>
    </row>
    <row r="3">
      <c r="A3" s="19" t="inlineStr">
        <is>
          <t>대상</t>
        </is>
      </c>
      <c r="B3" s="20" t="inlineStr">
        <is>
          <t>Google Drive 폴더의 영수증 사진 159장 (HEIC). 동일 사진 2장(IMG_5338)은 1건으로 처리 → 158장, 한 장에 2건이 적힌 Noki 영수증은 2행으로 분리</t>
        </is>
      </c>
    </row>
    <row r="4">
      <c r="A4" s="19" t="inlineStr">
        <is>
          <t>합계반영 = N</t>
        </is>
      </c>
      <c r="B4" s="20" t="inlineStr">
        <is>
          <t>같은 거래의 카드전표·2페이지 등 중복 사진 (8행). 목록엔 남겨 두고 합계에서만 제외</t>
        </is>
      </c>
    </row>
    <row r="5">
      <c r="A5" s="19" t="inlineStr">
        <is>
          <t>HST 빈칸</t>
        </is>
      </c>
      <c r="B5" s="20" t="inlineStr">
        <is>
          <t>카드전표만 있거나 영수증에 세금이 따로 표기되지 않은 건 (금액은 총액만 기록)</t>
        </is>
      </c>
    </row>
    <row r="6">
      <c r="A6" s="19" t="inlineStr">
        <is>
          <t>HST 0.00</t>
        </is>
      </c>
      <c r="B6" s="20" t="inlineStr">
        <is>
          <t>비과세 품목 (예: Timbits 50개, 처방약, 일부 베이커리/식품, 기프트코드)</t>
        </is>
      </c>
    </row>
    <row r="7">
      <c r="A7" s="19" t="inlineStr">
        <is>
          <t>주유 영수증</t>
        </is>
      </c>
      <c r="B7" s="20" t="inlineStr">
        <is>
          <t>주유는 HST 포함가. 영수증의 "HST Included" 금액을 HST로, 총액-HST를 소계로 기록</t>
        </is>
      </c>
    </row>
    <row r="8">
      <c r="A8" s="19" t="inlineStr">
        <is>
          <t>기타세금</t>
        </is>
      </c>
      <c r="B8" s="20" t="inlineStr">
        <is>
          <t>HST가 아닌 세금: RECO 보험료 PST 8% (34.48), 미국 판매세 2건</t>
        </is>
      </c>
    </row>
    <row r="9">
      <c r="A9" s="19" t="inlineStr">
        <is>
          <t>USD</t>
        </is>
      </c>
      <c r="B9" s="20" t="inlineStr">
        <is>
          <t>미국(뉴욕) 영수증 2건은 달러(USD) 그대로 기록, CAD 합계에서 제외</t>
        </is>
      </c>
    </row>
    <row r="10">
      <c r="A10" s="19" t="inlineStr">
        <is>
          <t>환불</t>
        </is>
      </c>
      <c r="B10" s="20" t="inlineStr">
        <is>
          <t>Sport Chek 반품 2건(2025-09-06, 2026-01-23)과 Hollister 환불 1건은 음수(-)로 기록 → 합계에서 차감</t>
        </is>
      </c>
    </row>
    <row r="11">
      <c r="A11" s="19" t="inlineStr">
        <is>
          <t>추정/확인 필요</t>
        </is>
      </c>
      <c r="B11" s="20" t="inlineStr">
        <is>
          <t>IMG_5473 상호 미기재(A&amp;W로 추정) · IMG_5575 LCBO 날짜 미기재, HST 역산 · IMG_5613 맥북은 주문확인서(결제 대기) · IMG_5625 CPA 인보이스(결제 영수증 아님) · IMG_5627 사진 흐림 · IMG_5351 Chick-fil-A 날짜 01/11/2025 (1월 11일 또는 11월 1일)</t>
        </is>
      </c>
    </row>
    <row r="12">
      <c r="A12" s="19" t="inlineStr">
        <is>
          <t>날짜 해석</t>
        </is>
      </c>
      <c r="B12" s="20" t="inlineStr">
        <is>
          <t>미국식(MM/DD) 표기 영수증은 영수증 종류별로 해석. 예: ServiceOntario 09-04-2026 → 2026-09-04, Home Depot 02/09/25 → 2025-09-02 (DD/MM)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2026-10-05T20:38:16Z</dcterms:created>
  <dcterms:modified xsi:type="dcterms:W3CDTF">2026-10-05T20:38:16Z</dcterms:modified>
</cp:coreProperties>
</file>